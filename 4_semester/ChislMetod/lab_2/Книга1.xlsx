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STU\2_course\4_semester\ChislMetod\lab_2\"/>
    </mc:Choice>
  </mc:AlternateContent>
  <xr:revisionPtr revIDLastSave="0" documentId="13_ncr:1_{8698D0EB-83E4-4056-B21A-405713AF959A}" xr6:coauthVersionLast="47" xr6:coauthVersionMax="47" xr10:uidLastSave="{00000000-0000-0000-0000-000000000000}"/>
  <bookViews>
    <workbookView xWindow="-28920" yWindow="-120" windowWidth="29040" windowHeight="15720" xr2:uid="{C782E966-BFB3-496B-94C7-B423511AED6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4" i="1" l="1"/>
  <c r="B163" i="1"/>
  <c r="B162" i="1"/>
  <c r="C208" i="1"/>
  <c r="B204" i="1"/>
  <c r="B205" i="1"/>
  <c r="B206" i="1"/>
  <c r="B203" i="1"/>
  <c r="B188" i="1"/>
  <c r="C162" i="1"/>
  <c r="B52" i="1"/>
  <c r="D41" i="1"/>
  <c r="G162" i="1" l="1"/>
  <c r="D162" i="1"/>
  <c r="E162" i="1"/>
  <c r="C163" i="1" l="1"/>
  <c r="D163" i="1" s="1"/>
  <c r="E163" i="1" s="1"/>
  <c r="G163" i="1" l="1"/>
  <c r="B164" i="1"/>
  <c r="C164" i="1" l="1"/>
  <c r="D164" i="1" l="1"/>
  <c r="E164" i="1" l="1"/>
  <c r="B165" i="1" s="1"/>
  <c r="G164" i="1"/>
  <c r="C165" i="1" l="1"/>
  <c r="G165" i="1" s="1"/>
  <c r="D165" i="1"/>
  <c r="E165" i="1"/>
  <c r="B166" i="1" l="1"/>
  <c r="C166" i="1" l="1"/>
  <c r="D166" i="1"/>
  <c r="D184" i="1" s="1"/>
  <c r="E166" i="1"/>
  <c r="E184" i="1" s="1"/>
  <c r="C185" i="1" l="1"/>
  <c r="C184" i="1"/>
  <c r="G166" i="1"/>
  <c r="E26" i="1" l="1"/>
  <c r="B26" i="1"/>
  <c r="C26" i="1"/>
  <c r="D26" i="1"/>
  <c r="A26" i="1"/>
  <c r="A29" i="1" s="1"/>
  <c r="A13" i="1"/>
  <c r="A14" i="1"/>
  <c r="A15" i="1"/>
  <c r="A12" i="1"/>
  <c r="A16" i="1" s="1"/>
  <c r="A6" i="1" a="1"/>
  <c r="A6" i="1" s="1"/>
  <c r="G3" i="1"/>
  <c r="D27" i="1" l="1"/>
  <c r="D29" i="1"/>
  <c r="D28" i="1"/>
  <c r="C27" i="1"/>
  <c r="C29" i="1"/>
  <c r="C28" i="1"/>
  <c r="B27" i="1"/>
  <c r="B29" i="1"/>
  <c r="B28" i="1"/>
  <c r="E29" i="1"/>
  <c r="E28" i="1"/>
  <c r="E34" i="1" s="1"/>
  <c r="E27" i="1"/>
  <c r="E35" i="1" s="1"/>
  <c r="A28" i="1"/>
  <c r="A27" i="1"/>
  <c r="D9" i="1"/>
  <c r="C9" i="1"/>
  <c r="B9" i="1"/>
  <c r="A9" i="1"/>
  <c r="B15" i="1" s="1"/>
  <c r="D8" i="1"/>
  <c r="C8" i="1"/>
  <c r="B8" i="1"/>
  <c r="A8" i="1"/>
  <c r="D7" i="1"/>
  <c r="C7" i="1"/>
  <c r="B7" i="1"/>
  <c r="A7" i="1"/>
  <c r="D6" i="1"/>
  <c r="C6" i="1"/>
  <c r="B6" i="1"/>
  <c r="D33" i="1" l="1"/>
  <c r="B34" i="1"/>
  <c r="C33" i="1"/>
  <c r="C34" i="1" s="1"/>
  <c r="B33" i="1"/>
  <c r="B35" i="1" s="1"/>
  <c r="D34" i="1"/>
  <c r="D35" i="1"/>
  <c r="B13" i="1"/>
  <c r="B12" i="1"/>
  <c r="B14" i="1"/>
  <c r="C41" i="1" l="1"/>
  <c r="C35" i="1"/>
  <c r="E40" i="1" s="1"/>
  <c r="B16" i="1"/>
  <c r="C17" i="1" s="1"/>
  <c r="B45" i="1" l="1"/>
  <c r="D40" i="1"/>
  <c r="E41" i="1"/>
  <c r="B51" i="1" l="1"/>
  <c r="B46" i="1"/>
  <c r="B49" i="1" l="1"/>
  <c r="B47" i="1"/>
  <c r="B50" i="1" s="1"/>
</calcChain>
</file>

<file path=xl/sharedStrings.xml><?xml version="1.0" encoding="utf-8"?>
<sst xmlns="http://schemas.openxmlformats.org/spreadsheetml/2006/main" count="177" uniqueCount="135">
  <si>
    <r>
      <t>20.9x</t>
    </r>
    <r>
      <rPr>
        <sz val="7.5"/>
        <color theme="1"/>
        <rFont val="Times New Roman"/>
        <family val="1"/>
        <charset val="204"/>
      </rPr>
      <t xml:space="preserve">1 </t>
    </r>
    <r>
      <rPr>
        <sz val="13.3"/>
        <color theme="1"/>
        <rFont val="Times New Roman"/>
        <family val="1"/>
        <charset val="204"/>
      </rPr>
      <t>+ 1.2x</t>
    </r>
    <r>
      <rPr>
        <sz val="7.5"/>
        <color theme="1"/>
        <rFont val="Times New Roman"/>
        <family val="1"/>
        <charset val="204"/>
      </rPr>
      <t xml:space="preserve">2 </t>
    </r>
    <r>
      <rPr>
        <sz val="13.3"/>
        <color theme="1"/>
        <rFont val="Times New Roman"/>
        <family val="1"/>
        <charset val="204"/>
      </rPr>
      <t>+ 2.1x</t>
    </r>
    <r>
      <rPr>
        <sz val="7.5"/>
        <color theme="1"/>
        <rFont val="Times New Roman"/>
        <family val="1"/>
        <charset val="204"/>
      </rPr>
      <t xml:space="preserve">3 </t>
    </r>
    <r>
      <rPr>
        <sz val="13.3"/>
        <color theme="1"/>
        <rFont val="Times New Roman"/>
        <family val="1"/>
        <charset val="204"/>
      </rPr>
      <t>+ 0.9x</t>
    </r>
    <r>
      <rPr>
        <sz val="7.5"/>
        <color theme="1"/>
        <rFont val="Times New Roman"/>
        <family val="1"/>
        <charset val="204"/>
      </rPr>
      <t xml:space="preserve">4 </t>
    </r>
    <r>
      <rPr>
        <sz val="13.3"/>
        <color theme="1"/>
        <rFont val="Times New Roman"/>
        <family val="1"/>
        <charset val="204"/>
      </rPr>
      <t>= 65</t>
    </r>
  </si>
  <si>
    <r>
      <t>2.1x</t>
    </r>
    <r>
      <rPr>
        <sz val="7.5"/>
        <color theme="1"/>
        <rFont val="Times New Roman"/>
        <family val="1"/>
        <charset val="204"/>
      </rPr>
      <t>1</t>
    </r>
    <r>
      <rPr>
        <sz val="13.3"/>
        <color theme="1"/>
        <rFont val="Times New Roman"/>
        <family val="1"/>
        <charset val="204"/>
      </rPr>
      <t>+1.5x</t>
    </r>
    <r>
      <rPr>
        <sz val="7.5"/>
        <color theme="1"/>
        <rFont val="Times New Roman"/>
        <family val="1"/>
        <charset val="204"/>
      </rPr>
      <t>2</t>
    </r>
    <r>
      <rPr>
        <sz val="13.3"/>
        <color theme="1"/>
        <rFont val="Times New Roman"/>
        <family val="1"/>
        <charset val="204"/>
      </rPr>
      <t>+19.8x</t>
    </r>
    <r>
      <rPr>
        <sz val="7.5"/>
        <color theme="1"/>
        <rFont val="Times New Roman"/>
        <family val="1"/>
        <charset val="204"/>
      </rPr>
      <t>3</t>
    </r>
    <r>
      <rPr>
        <sz val="13.3"/>
        <color theme="1"/>
        <rFont val="Times New Roman"/>
        <family val="1"/>
        <charset val="204"/>
      </rPr>
      <t>+1.3x</t>
    </r>
    <r>
      <rPr>
        <sz val="7.5"/>
        <color theme="1"/>
        <rFont val="Times New Roman"/>
        <family val="1"/>
        <charset val="204"/>
      </rPr>
      <t>4</t>
    </r>
    <r>
      <rPr>
        <sz val="13.3"/>
        <color theme="1"/>
        <rFont val="Times New Roman"/>
        <family val="1"/>
        <charset val="204"/>
      </rPr>
      <t>=81.65</t>
    </r>
  </si>
  <si>
    <r>
      <t>0.9x</t>
    </r>
    <r>
      <rPr>
        <sz val="7.5"/>
        <color theme="1"/>
        <rFont val="Times New Roman"/>
        <family val="1"/>
        <charset val="204"/>
      </rPr>
      <t>1</t>
    </r>
    <r>
      <rPr>
        <sz val="13.3"/>
        <color theme="1"/>
        <rFont val="Times New Roman"/>
        <family val="1"/>
        <charset val="204"/>
      </rPr>
      <t>+2.5x</t>
    </r>
    <r>
      <rPr>
        <sz val="7.5"/>
        <color theme="1"/>
        <rFont val="Times New Roman"/>
        <family val="1"/>
        <charset val="204"/>
      </rPr>
      <t>2</t>
    </r>
    <r>
      <rPr>
        <sz val="13.3"/>
        <color theme="1"/>
        <rFont val="Times New Roman"/>
        <family val="1"/>
        <charset val="204"/>
      </rPr>
      <t>+1.3x</t>
    </r>
    <r>
      <rPr>
        <sz val="7.5"/>
        <color theme="1"/>
        <rFont val="Times New Roman"/>
        <family val="1"/>
        <charset val="204"/>
      </rPr>
      <t>3</t>
    </r>
    <r>
      <rPr>
        <sz val="13.3"/>
        <color theme="1"/>
        <rFont val="Times New Roman"/>
        <family val="1"/>
        <charset val="204"/>
      </rPr>
      <t>+13.1x</t>
    </r>
    <r>
      <rPr>
        <sz val="7.5"/>
        <color theme="1"/>
        <rFont val="Times New Roman"/>
        <family val="1"/>
        <charset val="204"/>
      </rPr>
      <t>4</t>
    </r>
    <r>
      <rPr>
        <sz val="13.3"/>
        <color theme="1"/>
        <rFont val="Times New Roman"/>
        <family val="1"/>
        <charset val="204"/>
      </rPr>
      <t>=40.5</t>
    </r>
  </si>
  <si>
    <r>
      <t>−1.2x</t>
    </r>
    <r>
      <rPr>
        <sz val="7.5"/>
        <color theme="1"/>
        <rFont val="Times New Roman"/>
        <family val="1"/>
        <charset val="204"/>
      </rPr>
      <t>1</t>
    </r>
    <r>
      <rPr>
        <sz val="13.3"/>
        <color theme="1"/>
        <rFont val="Times New Roman"/>
        <family val="1"/>
        <charset val="204"/>
      </rPr>
      <t>+21.2x</t>
    </r>
    <r>
      <rPr>
        <sz val="7.5"/>
        <color theme="1"/>
        <rFont val="Times New Roman"/>
        <family val="1"/>
        <charset val="204"/>
      </rPr>
      <t>2</t>
    </r>
    <r>
      <rPr>
        <sz val="13.3"/>
        <color theme="1"/>
        <rFont val="Times New Roman"/>
        <family val="1"/>
        <charset val="204"/>
      </rPr>
      <t>+1.5x</t>
    </r>
    <r>
      <rPr>
        <sz val="7.5"/>
        <color theme="1"/>
        <rFont val="Times New Roman"/>
        <family val="1"/>
        <charset val="204"/>
      </rPr>
      <t>3</t>
    </r>
    <r>
      <rPr>
        <sz val="13.3"/>
        <color theme="1"/>
        <rFont val="Times New Roman"/>
        <family val="1"/>
        <charset val="204"/>
      </rPr>
      <t>+2.5x</t>
    </r>
    <r>
      <rPr>
        <sz val="7.5"/>
        <color theme="1"/>
        <rFont val="Times New Roman"/>
        <family val="1"/>
        <charset val="204"/>
      </rPr>
      <t>4</t>
    </r>
    <r>
      <rPr>
        <sz val="13.3"/>
        <color theme="1"/>
        <rFont val="Times New Roman"/>
        <family val="1"/>
        <charset val="204"/>
      </rPr>
      <t>=70.85</t>
    </r>
  </si>
  <si>
    <t>Точное решение:</t>
  </si>
  <si>
    <r>
      <t>X = (2,5; 3; 3; 5; 2)</t>
    </r>
    <r>
      <rPr>
        <vertAlign val="superscript"/>
        <sz val="11"/>
        <color theme="1"/>
        <rFont val="Calibri"/>
        <family val="2"/>
        <charset val="204"/>
        <scheme val="minor"/>
      </rPr>
      <t>T</t>
    </r>
  </si>
  <si>
    <t>Данные по варианту</t>
  </si>
  <si>
    <t>D != 0 =&gt; решение существует и единственно</t>
  </si>
  <si>
    <t>Определитель матрицы</t>
  </si>
  <si>
    <t>обратная матрица</t>
  </si>
  <si>
    <t>А</t>
  </si>
  <si>
    <r>
      <t>А</t>
    </r>
    <r>
      <rPr>
        <vertAlign val="superscript"/>
        <sz val="11"/>
        <color theme="1"/>
        <rFont val="Calibri"/>
        <family val="2"/>
        <charset val="204"/>
        <scheme val="minor"/>
      </rPr>
      <t>-1</t>
    </r>
  </si>
  <si>
    <t xml:space="preserve">μ =  25,1 * 0,062267385 = </t>
  </si>
  <si>
    <t>число обусловленности μ</t>
  </si>
  <si>
    <t>μ ≈ 1,56 =&gt; система хорошо обусловлена</t>
  </si>
  <si>
    <t>Метод Гаусса</t>
  </si>
  <si>
    <t>x2</t>
  </si>
  <si>
    <t>x1</t>
  </si>
  <si>
    <t>x3</t>
  </si>
  <si>
    <t>x4</t>
  </si>
  <si>
    <t>меняем 1 и 4 строки, 1 и 2 столбцы</t>
  </si>
  <si>
    <t>Разделим первую строку на 21,2</t>
  </si>
  <si>
    <t>макс = 20,96792453</t>
  </si>
  <si>
    <t>макс = 19,69386792</t>
  </si>
  <si>
    <t xml:space="preserve">x4 = </t>
  </si>
  <si>
    <t xml:space="preserve">x3 = </t>
  </si>
  <si>
    <t xml:space="preserve">x1 = </t>
  </si>
  <si>
    <t xml:space="preserve">x2 = </t>
  </si>
  <si>
    <r>
      <t>|x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 xml:space="preserve"> - x</t>
    </r>
    <r>
      <rPr>
        <vertAlign val="superscript"/>
        <sz val="11"/>
        <color theme="1"/>
        <rFont val="Calibri"/>
        <family val="2"/>
        <charset val="204"/>
        <scheme val="minor"/>
      </rPr>
      <t>-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 xml:space="preserve">| = </t>
    </r>
  </si>
  <si>
    <r>
      <t>|x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 xml:space="preserve"> - x</t>
    </r>
    <r>
      <rPr>
        <vertAlign val="superscript"/>
        <sz val="11"/>
        <color theme="1"/>
        <rFont val="Calibri"/>
        <family val="2"/>
        <charset val="204"/>
        <scheme val="minor"/>
      </rPr>
      <t>-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 xml:space="preserve">| = </t>
    </r>
  </si>
  <si>
    <r>
      <t>|x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 xml:space="preserve"> - x</t>
    </r>
    <r>
      <rPr>
        <vertAlign val="superscript"/>
        <sz val="11"/>
        <color theme="1"/>
        <rFont val="Calibri"/>
        <family val="2"/>
        <charset val="204"/>
        <scheme val="minor"/>
      </rPr>
      <t>-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 xml:space="preserve">| = </t>
    </r>
  </si>
  <si>
    <r>
      <t>|x</t>
    </r>
    <r>
      <rPr>
        <vertAlign val="subscript"/>
        <sz val="11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charset val="204"/>
        <scheme val="minor"/>
      </rPr>
      <t xml:space="preserve"> - x</t>
    </r>
    <r>
      <rPr>
        <vertAlign val="superscript"/>
        <sz val="11"/>
        <color theme="1"/>
        <rFont val="Calibri"/>
        <family val="2"/>
        <charset val="204"/>
        <scheme val="minor"/>
      </rPr>
      <t>-</t>
    </r>
    <r>
      <rPr>
        <vertAlign val="subscript"/>
        <sz val="11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charset val="204"/>
        <scheme val="minor"/>
      </rPr>
      <t xml:space="preserve">| = </t>
    </r>
  </si>
  <si>
    <r>
      <t>Δ</t>
    </r>
    <r>
      <rPr>
        <i/>
        <sz val="7.7"/>
        <color theme="1"/>
        <rFont val="KaTeX_Math"/>
      </rPr>
      <t>x</t>
    </r>
    <r>
      <rPr>
        <sz val="7.7"/>
        <color theme="1"/>
        <rFont val="Times New Roman"/>
        <family val="1"/>
        <charset val="204"/>
      </rPr>
      <t>ˉ</t>
    </r>
    <r>
      <rPr>
        <sz val="10"/>
        <color theme="1"/>
        <rFont val="Times New Roman"/>
        <family val="1"/>
        <charset val="204"/>
      </rPr>
      <t xml:space="preserve"> = max(0; 0; 0; 0) = 0</t>
    </r>
  </si>
  <si>
    <t>Вычислительная погрешность метода Гаусса с выбором главного</t>
  </si>
  <si>
    <t>элемента по всей матрице в пределах точности машинных</t>
  </si>
  <si>
    <t>вычислений равна нулю. Это свидетельствует о высокой точности</t>
  </si>
  <si>
    <t>прямого метода для данной системы.</t>
  </si>
  <si>
    <t>В 4-м уравнении максимум 21,2(x2) - ставим на второе место</t>
  </si>
  <si>
    <t>В 2-м уравнении максимум 19,8(x3) - ставим на третье место</t>
  </si>
  <si>
    <t>В 3-м уравнении максимум 13,1(x4) - ставим на четвертое место</t>
  </si>
  <si>
    <r>
      <t>−1.2x</t>
    </r>
    <r>
      <rPr>
        <sz val="7.5"/>
        <color theme="1"/>
        <rFont val="Times New Roman"/>
        <family val="1"/>
        <charset val="204"/>
      </rPr>
      <t xml:space="preserve">1 </t>
    </r>
    <r>
      <rPr>
        <sz val="13.3"/>
        <color theme="1"/>
        <rFont val="Times New Roman"/>
        <family val="1"/>
        <charset val="204"/>
      </rPr>
      <t>+ 21.2x</t>
    </r>
    <r>
      <rPr>
        <sz val="7.5"/>
        <color theme="1"/>
        <rFont val="Times New Roman"/>
        <family val="1"/>
        <charset val="204"/>
      </rPr>
      <t xml:space="preserve">2 </t>
    </r>
    <r>
      <rPr>
        <sz val="13.3"/>
        <color theme="1"/>
        <rFont val="Times New Roman"/>
        <family val="1"/>
        <charset val="204"/>
      </rPr>
      <t>+ 1.5x</t>
    </r>
    <r>
      <rPr>
        <sz val="7.5"/>
        <color theme="1"/>
        <rFont val="Times New Roman"/>
        <family val="1"/>
        <charset val="204"/>
      </rPr>
      <t xml:space="preserve">3 </t>
    </r>
    <r>
      <rPr>
        <sz val="13.3"/>
        <color theme="1"/>
        <rFont val="Times New Roman"/>
        <family val="1"/>
        <charset val="204"/>
      </rPr>
      <t>+ 2.5x</t>
    </r>
    <r>
      <rPr>
        <sz val="7.5"/>
        <color theme="1"/>
        <rFont val="Times New Roman"/>
        <family val="1"/>
        <charset val="204"/>
      </rPr>
      <t xml:space="preserve">4 </t>
    </r>
    <r>
      <rPr>
        <sz val="13.3"/>
        <color theme="1"/>
        <rFont val="Times New Roman"/>
        <family val="1"/>
        <charset val="204"/>
      </rPr>
      <t>= 70.85</t>
    </r>
  </si>
  <si>
    <r>
      <t>2.1x</t>
    </r>
    <r>
      <rPr>
        <sz val="7.5"/>
        <color theme="1"/>
        <rFont val="Times New Roman"/>
        <family val="1"/>
        <charset val="204"/>
      </rPr>
      <t xml:space="preserve">1 </t>
    </r>
    <r>
      <rPr>
        <sz val="13.3"/>
        <color theme="1"/>
        <rFont val="Times New Roman"/>
        <family val="1"/>
        <charset val="204"/>
      </rPr>
      <t>+ 1.5x</t>
    </r>
    <r>
      <rPr>
        <sz val="7.5"/>
        <color theme="1"/>
        <rFont val="Times New Roman"/>
        <family val="1"/>
        <charset val="204"/>
      </rPr>
      <t xml:space="preserve">2 </t>
    </r>
    <r>
      <rPr>
        <sz val="13.3"/>
        <color theme="1"/>
        <rFont val="Times New Roman"/>
        <family val="1"/>
        <charset val="204"/>
      </rPr>
      <t>+ 19.8x</t>
    </r>
    <r>
      <rPr>
        <sz val="7.5"/>
        <color theme="1"/>
        <rFont val="Times New Roman"/>
        <family val="1"/>
        <charset val="204"/>
      </rPr>
      <t xml:space="preserve">3 </t>
    </r>
    <r>
      <rPr>
        <sz val="13.3"/>
        <color theme="1"/>
        <rFont val="Times New Roman"/>
        <family val="1"/>
        <charset val="204"/>
      </rPr>
      <t>+ 1.3x</t>
    </r>
    <r>
      <rPr>
        <sz val="7.5"/>
        <color theme="1"/>
        <rFont val="Times New Roman"/>
        <family val="1"/>
        <charset val="204"/>
      </rPr>
      <t xml:space="preserve">4 </t>
    </r>
    <r>
      <rPr>
        <sz val="13.3"/>
        <color theme="1"/>
        <rFont val="Times New Roman"/>
        <family val="1"/>
        <charset val="204"/>
      </rPr>
      <t>= 81.65</t>
    </r>
  </si>
  <si>
    <t>В 1-м уравнении максимум 20,9(x1) - оставляем на первом месте</t>
  </si>
  <si>
    <r>
      <t>0.9x</t>
    </r>
    <r>
      <rPr>
        <sz val="7.5"/>
        <color theme="1"/>
        <rFont val="Times New Roman"/>
        <family val="1"/>
        <charset val="204"/>
      </rPr>
      <t xml:space="preserve">1 </t>
    </r>
    <r>
      <rPr>
        <sz val="13.3"/>
        <color theme="1"/>
        <rFont val="Times New Roman"/>
        <family val="1"/>
        <charset val="204"/>
      </rPr>
      <t>+ 2.5x</t>
    </r>
    <r>
      <rPr>
        <sz val="7.5"/>
        <color theme="1"/>
        <rFont val="Times New Roman"/>
        <family val="1"/>
        <charset val="204"/>
      </rPr>
      <t xml:space="preserve">2 </t>
    </r>
    <r>
      <rPr>
        <sz val="13.3"/>
        <color theme="1"/>
        <rFont val="Times New Roman"/>
        <family val="1"/>
        <charset val="204"/>
      </rPr>
      <t>+ 1.3x</t>
    </r>
    <r>
      <rPr>
        <sz val="7.5"/>
        <color theme="1"/>
        <rFont val="Times New Roman"/>
        <family val="1"/>
        <charset val="204"/>
      </rPr>
      <t xml:space="preserve">3 </t>
    </r>
    <r>
      <rPr>
        <sz val="13.3"/>
        <color theme="1"/>
        <rFont val="Times New Roman"/>
        <family val="1"/>
        <charset val="204"/>
      </rPr>
      <t>+ 13.1x</t>
    </r>
    <r>
      <rPr>
        <sz val="7.5"/>
        <color theme="1"/>
        <rFont val="Times New Roman"/>
        <family val="1"/>
        <charset val="204"/>
      </rPr>
      <t xml:space="preserve">4 </t>
    </r>
    <r>
      <rPr>
        <sz val="13.3"/>
        <color theme="1"/>
        <rFont val="Times New Roman"/>
        <family val="1"/>
        <charset val="204"/>
      </rPr>
      <t>= 40.5</t>
    </r>
  </si>
  <si>
    <t xml:space="preserve">20,9 &gt; 1,2 + 2,1 + 0,9 </t>
  </si>
  <si>
    <t>21,2 &gt; |-1,2| + 1,5 + 2,5</t>
  </si>
  <si>
    <t>19,8 &gt; 2,1 + 1,5 + 1,3</t>
  </si>
  <si>
    <t>13,1 &gt; 0,9 + 2,5 + 1,3</t>
  </si>
  <si>
    <t>Проверка условия диагонального преобладания</t>
  </si>
  <si>
    <t>Перестроенная система</t>
  </si>
  <si>
    <r>
      <t>Приведение к итерационному виду x</t>
    </r>
    <r>
      <rPr>
        <vertAlign val="superscript"/>
        <sz val="11"/>
        <color theme="1"/>
        <rFont val="Calibri"/>
        <family val="2"/>
        <charset val="204"/>
        <scheme val="minor"/>
      </rPr>
      <t>-</t>
    </r>
    <r>
      <rPr>
        <sz val="11"/>
        <color theme="1"/>
        <rFont val="Calibri"/>
        <family val="2"/>
        <charset val="204"/>
        <scheme val="minor"/>
      </rPr>
      <t xml:space="preserve"> = Cx</t>
    </r>
    <r>
      <rPr>
        <vertAlign val="superscript"/>
        <sz val="11"/>
        <color theme="1"/>
        <rFont val="Calibri"/>
        <family val="2"/>
        <charset val="204"/>
        <scheme val="minor"/>
      </rPr>
      <t>-</t>
    </r>
    <r>
      <rPr>
        <sz val="11"/>
        <color theme="1"/>
        <rFont val="Calibri"/>
        <family val="2"/>
        <charset val="204"/>
        <scheme val="minor"/>
      </rPr>
      <t xml:space="preserve"> + d</t>
    </r>
    <r>
      <rPr>
        <vertAlign val="superscript"/>
        <sz val="11"/>
        <color theme="1"/>
        <rFont val="Calibri"/>
        <family val="2"/>
        <charset val="204"/>
        <scheme val="minor"/>
      </rPr>
      <t>-</t>
    </r>
  </si>
  <si>
    <t xml:space="preserve">x1 = 1 / 20,9 * (65 - 1.2x2 - 2.1x3 - 0.9x4) </t>
  </si>
  <si>
    <t>x2 = 1 / 21,2 * (70,85 + 1,2x1 - 1,5x3 - 2,5x4)</t>
  </si>
  <si>
    <t>x3 = 1 / 19,8 * (81,65 - 2,1x1 - 1,5x2 - 1,3x4)</t>
  </si>
  <si>
    <t>x4 = 1/13,1 * (40,5 - 0,9x1 - 2,5x2 - 1,3x3)</t>
  </si>
  <si>
    <t>x1 = 3,1100 - 0,0574x2 - 0,1005x3 - 0,0431x4</t>
  </si>
  <si>
    <t>x2 = 3,3420 + 0,0566x1 - 0,0708x3 - 0,1179x4</t>
  </si>
  <si>
    <t>x3 = 4,1237 - 0,1061x1 - 0,0758x2 -0,0657x4</t>
  </si>
  <si>
    <t>x4 = 3,0916 - 0,0687x1 - 0,1908x2 - 0,0992x3</t>
  </si>
  <si>
    <t>C</t>
  </si>
  <si>
    <t>=</t>
  </si>
  <si>
    <t>+</t>
  </si>
  <si>
    <t>Финальная запись системы:</t>
  </si>
  <si>
    <t>Система успешно преобразована к виду с диагональным</t>
  </si>
  <si>
    <t>преобладанием. Матрица С имеет нулевую диагональ, а сумма</t>
  </si>
  <si>
    <t xml:space="preserve">модулей элементов ее строк меньше 1, что гарантирует </t>
  </si>
  <si>
    <t>быструю сходимость итерационных процессов.</t>
  </si>
  <si>
    <t>априорная оценка количества итераций, необходимых для</t>
  </si>
  <si>
    <t>достижения точности ϵ</t>
  </si>
  <si>
    <t>Начальное приближение</t>
  </si>
  <si>
    <r>
      <t>x</t>
    </r>
    <r>
      <rPr>
        <vertAlign val="superscript"/>
        <sz val="11"/>
        <color theme="1"/>
        <rFont val="Calibri"/>
        <family val="2"/>
        <charset val="204"/>
        <scheme val="minor"/>
      </rPr>
      <t>(0)</t>
    </r>
    <r>
      <rPr>
        <sz val="11"/>
        <color theme="1"/>
        <rFont val="Calibri"/>
        <family val="2"/>
        <charset val="204"/>
        <scheme val="minor"/>
      </rPr>
      <t xml:space="preserve"> = 0</t>
    </r>
    <r>
      <rPr>
        <vertAlign val="superscript"/>
        <sz val="11"/>
        <color theme="1"/>
        <rFont val="Calibri"/>
        <family val="2"/>
        <charset val="204"/>
        <scheme val="minor"/>
      </rPr>
      <t>-</t>
    </r>
    <r>
      <rPr>
        <sz val="11"/>
        <color theme="1"/>
        <rFont val="Calibri"/>
        <family val="2"/>
        <charset val="204"/>
        <scheme val="minor"/>
      </rPr>
      <t xml:space="preserve"> = (0; 0; 0; 0)</t>
    </r>
    <r>
      <rPr>
        <vertAlign val="superscript"/>
        <sz val="11"/>
        <color theme="1"/>
        <rFont val="Calibri"/>
        <family val="2"/>
        <charset val="204"/>
        <scheme val="minor"/>
      </rPr>
      <t>T</t>
    </r>
  </si>
  <si>
    <t>Первая итерация</t>
  </si>
  <si>
    <r>
      <t>x</t>
    </r>
    <r>
      <rPr>
        <vertAlign val="superscript"/>
        <sz val="11"/>
        <color theme="1"/>
        <rFont val="Calibri"/>
        <family val="2"/>
        <charset val="204"/>
        <scheme val="minor"/>
      </rPr>
      <t>(1)</t>
    </r>
    <r>
      <rPr>
        <sz val="11"/>
        <color theme="1"/>
        <rFont val="Calibri"/>
        <family val="2"/>
        <charset val="204"/>
        <scheme val="minor"/>
      </rPr>
      <t xml:space="preserve"> = С*x</t>
    </r>
    <r>
      <rPr>
        <vertAlign val="superscript"/>
        <sz val="11"/>
        <color theme="1"/>
        <rFont val="Calibri"/>
        <family val="2"/>
        <charset val="204"/>
        <scheme val="minor"/>
      </rPr>
      <t>(0)</t>
    </r>
    <r>
      <rPr>
        <sz val="11"/>
        <color theme="1"/>
        <rFont val="Calibri"/>
        <family val="2"/>
        <charset val="204"/>
        <scheme val="minor"/>
      </rPr>
      <t xml:space="preserve"> + d</t>
    </r>
    <r>
      <rPr>
        <vertAlign val="superscript"/>
        <sz val="11"/>
        <color theme="1"/>
        <rFont val="Calibri"/>
        <family val="2"/>
        <charset val="204"/>
        <scheme val="minor"/>
      </rPr>
      <t>-</t>
    </r>
    <r>
      <rPr>
        <sz val="11"/>
        <color theme="1"/>
        <rFont val="Calibri"/>
        <family val="2"/>
        <charset val="204"/>
        <scheme val="minor"/>
      </rPr>
      <t xml:space="preserve"> = d</t>
    </r>
    <r>
      <rPr>
        <vertAlign val="superscript"/>
        <sz val="11"/>
        <color theme="1"/>
        <rFont val="Calibri"/>
        <family val="2"/>
        <charset val="204"/>
        <scheme val="minor"/>
      </rPr>
      <t>-</t>
    </r>
  </si>
  <si>
    <t>Норма матрицы (макс сумма модулей по строкам)</t>
  </si>
  <si>
    <t>0 + 0,0574 + 0,1005 + 0,0431 = 0,2010</t>
  </si>
  <si>
    <t>0,0566 + 0 + 0,0708 + 0,1179 = 0,2453</t>
  </si>
  <si>
    <t>0,1061 + 0,0758 + 0 +0,0657 = 0,2476</t>
  </si>
  <si>
    <t>0,0687 + 0,1908 + 0,0992 + 0 = 0,3587</t>
  </si>
  <si>
    <t>∥C∥ = 0,3587</t>
  </si>
  <si>
    <r>
      <t>∥x</t>
    </r>
    <r>
      <rPr>
        <vertAlign val="superscript"/>
        <sz val="11"/>
        <color theme="1"/>
        <rFont val="Calibri"/>
        <family val="2"/>
        <charset val="204"/>
        <scheme val="minor"/>
      </rPr>
      <t>(1)</t>
    </r>
    <r>
      <rPr>
        <sz val="11"/>
        <color theme="1"/>
        <rFont val="Calibri"/>
        <family val="2"/>
        <charset val="204"/>
        <scheme val="minor"/>
      </rPr>
      <t xml:space="preserve"> - x</t>
    </r>
    <r>
      <rPr>
        <vertAlign val="superscript"/>
        <sz val="11"/>
        <color theme="1"/>
        <rFont val="Calibri"/>
        <family val="2"/>
        <charset val="204"/>
        <scheme val="minor"/>
      </rPr>
      <t>(0)</t>
    </r>
    <r>
      <rPr>
        <sz val="11"/>
        <color theme="1"/>
        <rFont val="Calibri"/>
        <family val="2"/>
        <charset val="204"/>
        <scheme val="minor"/>
      </rPr>
      <t>∥ = ∥d</t>
    </r>
    <r>
      <rPr>
        <vertAlign val="superscript"/>
        <sz val="11"/>
        <color theme="1"/>
        <rFont val="Calibri"/>
        <family val="2"/>
        <charset val="204"/>
        <scheme val="minor"/>
      </rPr>
      <t>-</t>
    </r>
    <r>
      <rPr>
        <sz val="11"/>
        <color theme="1"/>
        <rFont val="Calibri"/>
        <family val="2"/>
        <charset val="204"/>
        <scheme val="minor"/>
      </rPr>
      <t xml:space="preserve"> - 0∥ = max(|3,1100|; |3,3420|; |4,1237|; |3,0916|) =</t>
    </r>
  </si>
  <si>
    <r>
      <t>∥C∥</t>
    </r>
    <r>
      <rPr>
        <vertAlign val="superscript"/>
        <sz val="11"/>
        <color theme="1"/>
        <rFont val="Calibri"/>
        <family val="2"/>
        <charset val="204"/>
        <scheme val="minor"/>
      </rPr>
      <t>k</t>
    </r>
    <r>
      <rPr>
        <sz val="11"/>
        <color theme="1"/>
        <rFont val="Calibri"/>
        <family val="2"/>
        <charset val="204"/>
        <scheme val="minor"/>
      </rPr>
      <t xml:space="preserve"> / (1 - ∥C∥) * ∥x</t>
    </r>
    <r>
      <rPr>
        <vertAlign val="superscript"/>
        <sz val="11"/>
        <color theme="1"/>
        <rFont val="Calibri"/>
        <family val="2"/>
        <charset val="204"/>
        <scheme val="minor"/>
      </rPr>
      <t>(1)</t>
    </r>
    <r>
      <rPr>
        <sz val="11"/>
        <color theme="1"/>
        <rFont val="Calibri"/>
        <family val="2"/>
        <charset val="204"/>
        <scheme val="minor"/>
      </rPr>
      <t xml:space="preserve"> - x</t>
    </r>
    <r>
      <rPr>
        <vertAlign val="superscript"/>
        <sz val="11"/>
        <color theme="1"/>
        <rFont val="Calibri"/>
        <family val="2"/>
        <charset val="204"/>
        <scheme val="minor"/>
      </rPr>
      <t>(0)</t>
    </r>
    <r>
      <rPr>
        <sz val="11"/>
        <color theme="1"/>
        <rFont val="Calibri"/>
        <family val="2"/>
        <charset val="204"/>
        <scheme val="minor"/>
      </rPr>
      <t>∥ &lt; ϵ</t>
    </r>
  </si>
  <si>
    <t>0,3587k / 1 -0,3587 * 4,1237 &lt; ϵ</t>
  </si>
  <si>
    <t>6,4302 * 0,3587k &lt; ϵ</t>
  </si>
  <si>
    <t xml:space="preserve">Для точности ϵ = 0,001 </t>
  </si>
  <si>
    <t xml:space="preserve">Для точности ϵ = 0,01 </t>
  </si>
  <si>
    <t>6,4302 * 0,3587k &lt; 0,01</t>
  </si>
  <si>
    <t>0,3587k &lt; 0,001555</t>
  </si>
  <si>
    <t>k * ln(0,3587) &lt; ln(0,001555)</t>
  </si>
  <si>
    <t>k  (-1,0253) &lt; -6,4663</t>
  </si>
  <si>
    <t>k &gt; 6,3</t>
  </si>
  <si>
    <t>6,4302 * 0,3587k &lt; 0,001</t>
  </si>
  <si>
    <t>0,3587k &lt; 0,0001555</t>
  </si>
  <si>
    <t>k*(-1,0253) &lt; -8,7686</t>
  </si>
  <si>
    <t>k &gt; 8,55</t>
  </si>
  <si>
    <t>k1 = 7 итераций</t>
  </si>
  <si>
    <t>k2 = 9 итераций</t>
  </si>
  <si>
    <t xml:space="preserve"> текущей координаты мы используем значения коорд</t>
  </si>
  <si>
    <t xml:space="preserve"> текущей итерации, которые уже успели рассчитать.</t>
  </si>
  <si>
    <t xml:space="preserve"> Это значительно ускоряет сходимость</t>
  </si>
  <si>
    <r>
      <t>x1</t>
    </r>
    <r>
      <rPr>
        <vertAlign val="superscript"/>
        <sz val="11"/>
        <color theme="1"/>
        <rFont val="Calibri"/>
        <family val="2"/>
        <charset val="204"/>
        <scheme val="minor"/>
      </rPr>
      <t>(k+1)</t>
    </r>
    <r>
      <rPr>
        <sz val="11"/>
        <color theme="1"/>
        <rFont val="Calibri"/>
        <family val="2"/>
        <charset val="204"/>
        <scheme val="minor"/>
      </rPr>
      <t xml:space="preserve"> = 65 - 1.2x2</t>
    </r>
    <r>
      <rPr>
        <vertAlign val="superscript"/>
        <sz val="11"/>
        <color theme="1"/>
        <rFont val="Calibri"/>
        <family val="2"/>
        <charset val="204"/>
        <scheme val="minor"/>
      </rPr>
      <t>(k)</t>
    </r>
    <r>
      <rPr>
        <sz val="11"/>
        <color theme="1"/>
        <rFont val="Calibri"/>
        <family val="2"/>
        <charset val="204"/>
        <scheme val="minor"/>
      </rPr>
      <t xml:space="preserve"> - 2.1x3</t>
    </r>
    <r>
      <rPr>
        <vertAlign val="superscript"/>
        <sz val="11"/>
        <color theme="1"/>
        <rFont val="Calibri"/>
        <family val="2"/>
        <charset val="204"/>
        <scheme val="minor"/>
      </rPr>
      <t>(k)</t>
    </r>
    <r>
      <rPr>
        <sz val="11"/>
        <color theme="1"/>
        <rFont val="Calibri"/>
        <family val="2"/>
        <charset val="204"/>
        <scheme val="minor"/>
      </rPr>
      <t xml:space="preserve"> - 0.9x4</t>
    </r>
    <r>
      <rPr>
        <vertAlign val="superscript"/>
        <sz val="11"/>
        <color theme="1"/>
        <rFont val="Calibri"/>
        <family val="2"/>
        <charset val="204"/>
        <scheme val="minor"/>
      </rPr>
      <t>(k)</t>
    </r>
    <r>
      <rPr>
        <sz val="11"/>
        <color theme="1"/>
        <rFont val="Calibri"/>
        <family val="2"/>
        <charset val="204"/>
        <scheme val="minor"/>
      </rPr>
      <t>) /20.9</t>
    </r>
  </si>
  <si>
    <r>
      <t>x2</t>
    </r>
    <r>
      <rPr>
        <vertAlign val="superscript"/>
        <sz val="11"/>
        <color theme="1"/>
        <rFont val="Calibri"/>
        <family val="2"/>
        <charset val="204"/>
        <scheme val="minor"/>
      </rPr>
      <t>(k+1)</t>
    </r>
    <r>
      <rPr>
        <sz val="11"/>
        <color theme="1"/>
        <rFont val="Calibri"/>
        <family val="2"/>
        <charset val="204"/>
        <scheme val="minor"/>
      </rPr>
      <t xml:space="preserve"> = (70.85 + 1.2x1</t>
    </r>
    <r>
      <rPr>
        <vertAlign val="superscript"/>
        <sz val="11"/>
        <color theme="1"/>
        <rFont val="Calibri"/>
        <family val="2"/>
        <charset val="204"/>
        <scheme val="minor"/>
      </rPr>
      <t>(k+1)</t>
    </r>
    <r>
      <rPr>
        <sz val="11"/>
        <color theme="1"/>
        <rFont val="Calibri"/>
        <family val="2"/>
        <charset val="204"/>
        <scheme val="minor"/>
      </rPr>
      <t xml:space="preserve"> - 1.5x3</t>
    </r>
    <r>
      <rPr>
        <vertAlign val="superscript"/>
        <sz val="11"/>
        <color theme="1"/>
        <rFont val="Calibri"/>
        <family val="2"/>
        <charset val="204"/>
        <scheme val="minor"/>
      </rPr>
      <t>(k)</t>
    </r>
    <r>
      <rPr>
        <sz val="11"/>
        <color theme="1"/>
        <rFont val="Calibri"/>
        <family val="2"/>
        <charset val="204"/>
        <scheme val="minor"/>
      </rPr>
      <t xml:space="preserve"> -2.5x4</t>
    </r>
    <r>
      <rPr>
        <vertAlign val="superscript"/>
        <sz val="11"/>
        <color theme="1"/>
        <rFont val="Calibri"/>
        <family val="2"/>
        <charset val="204"/>
        <scheme val="minor"/>
      </rPr>
      <t>(k)</t>
    </r>
    <r>
      <rPr>
        <sz val="11"/>
        <color theme="1"/>
        <rFont val="Calibri"/>
        <family val="2"/>
        <charset val="204"/>
        <scheme val="minor"/>
      </rPr>
      <t>) / 21.2</t>
    </r>
  </si>
  <si>
    <r>
      <t>x3</t>
    </r>
    <r>
      <rPr>
        <vertAlign val="superscript"/>
        <sz val="11"/>
        <color theme="1"/>
        <rFont val="Calibri"/>
        <family val="2"/>
        <charset val="204"/>
        <scheme val="minor"/>
      </rPr>
      <t>(k+1)</t>
    </r>
    <r>
      <rPr>
        <sz val="11"/>
        <color theme="1"/>
        <rFont val="Calibri"/>
        <family val="2"/>
        <charset val="204"/>
        <scheme val="minor"/>
      </rPr>
      <t xml:space="preserve"> = (81.65 - 2.1x1</t>
    </r>
    <r>
      <rPr>
        <vertAlign val="superscript"/>
        <sz val="11"/>
        <color theme="1"/>
        <rFont val="Calibri"/>
        <family val="2"/>
        <charset val="204"/>
        <scheme val="minor"/>
      </rPr>
      <t>(k+1)</t>
    </r>
    <r>
      <rPr>
        <sz val="11"/>
        <color theme="1"/>
        <rFont val="Calibri"/>
        <family val="2"/>
        <charset val="204"/>
        <scheme val="minor"/>
      </rPr>
      <t xml:space="preserve"> - 1.5x2</t>
    </r>
    <r>
      <rPr>
        <vertAlign val="superscript"/>
        <sz val="11"/>
        <color theme="1"/>
        <rFont val="Calibri"/>
        <family val="2"/>
        <charset val="204"/>
        <scheme val="minor"/>
      </rPr>
      <t>(k+1)</t>
    </r>
    <r>
      <rPr>
        <sz val="11"/>
        <color theme="1"/>
        <rFont val="Calibri"/>
        <family val="2"/>
        <charset val="204"/>
        <scheme val="minor"/>
      </rPr>
      <t xml:space="preserve"> -1.3x4</t>
    </r>
    <r>
      <rPr>
        <vertAlign val="superscript"/>
        <sz val="11"/>
        <color theme="1"/>
        <rFont val="Calibri"/>
        <family val="2"/>
        <charset val="204"/>
        <scheme val="minor"/>
      </rPr>
      <t>(k)</t>
    </r>
    <r>
      <rPr>
        <sz val="11"/>
        <color theme="1"/>
        <rFont val="Calibri"/>
        <family val="2"/>
        <charset val="204"/>
        <scheme val="minor"/>
      </rPr>
      <t>) / 19.8</t>
    </r>
  </si>
  <si>
    <r>
      <t>x4</t>
    </r>
    <r>
      <rPr>
        <vertAlign val="superscript"/>
        <sz val="11"/>
        <color theme="1"/>
        <rFont val="Calibri"/>
        <family val="2"/>
        <charset val="204"/>
        <scheme val="minor"/>
      </rPr>
      <t>(k+1)</t>
    </r>
    <r>
      <rPr>
        <sz val="11"/>
        <color theme="1"/>
        <rFont val="Calibri"/>
        <family val="2"/>
        <charset val="204"/>
        <scheme val="minor"/>
      </rPr>
      <t xml:space="preserve"> = (40.5 - 0.9x1</t>
    </r>
    <r>
      <rPr>
        <vertAlign val="superscript"/>
        <sz val="11"/>
        <color theme="1"/>
        <rFont val="Calibri"/>
        <family val="2"/>
        <charset val="204"/>
        <scheme val="minor"/>
      </rPr>
      <t>(k+1)</t>
    </r>
    <r>
      <rPr>
        <sz val="11"/>
        <color theme="1"/>
        <rFont val="Calibri"/>
        <family val="2"/>
        <charset val="204"/>
        <scheme val="minor"/>
      </rPr>
      <t xml:space="preserve"> - 2.5x2</t>
    </r>
    <r>
      <rPr>
        <vertAlign val="superscript"/>
        <sz val="11"/>
        <color theme="1"/>
        <rFont val="Calibri"/>
        <family val="2"/>
        <charset val="204"/>
        <scheme val="minor"/>
      </rPr>
      <t>(k+1)</t>
    </r>
    <r>
      <rPr>
        <sz val="11"/>
        <color theme="1"/>
        <rFont val="Calibri"/>
        <family val="2"/>
        <charset val="204"/>
        <scheme val="minor"/>
      </rPr>
      <t xml:space="preserve"> -1.3x3</t>
    </r>
    <r>
      <rPr>
        <vertAlign val="superscript"/>
        <sz val="11"/>
        <color theme="1"/>
        <rFont val="Calibri"/>
        <family val="2"/>
        <charset val="204"/>
        <scheme val="minor"/>
      </rPr>
      <t>(k+1)</t>
    </r>
    <r>
      <rPr>
        <sz val="11"/>
        <color theme="1"/>
        <rFont val="Calibri"/>
        <family val="2"/>
        <charset val="204"/>
        <scheme val="minor"/>
      </rPr>
      <t>) / 13.1</t>
    </r>
  </si>
  <si>
    <t>k = 0</t>
  </si>
  <si>
    <t>k = 1</t>
  </si>
  <si>
    <t>k = 2</t>
  </si>
  <si>
    <t>k = 3</t>
  </si>
  <si>
    <t>k = 4</t>
  </si>
  <si>
    <t>k = 5</t>
  </si>
  <si>
    <t>Метод Зейделя сошелся до точности 0,001 за 5 итераций</t>
  </si>
  <si>
    <t>Априорная оценка (9 шагов) оказалась завышенной, что нормально</t>
  </si>
  <si>
    <t>т.к. она дает гарантированный максимум шагов, а метод Зейделя</t>
  </si>
  <si>
    <t>сходится быстрее простого мтеода итераций</t>
  </si>
  <si>
    <t>Результать практически идеально совпал с точным решением</t>
  </si>
  <si>
    <t>Теперь считаем апостериорную оценку</t>
  </si>
  <si>
    <t>В отличие от априорной, эта оценка считается уже после того, как</t>
  </si>
  <si>
    <t>итерации проведены, и базируется на разности между двумя</t>
  </si>
  <si>
    <t>последними шагами</t>
  </si>
  <si>
    <t>Норма разности:</t>
  </si>
  <si>
    <t xml:space="preserve">Максимальная: </t>
  </si>
  <si>
    <r>
      <t>Δ</t>
    </r>
    <r>
      <rPr>
        <sz val="7.7"/>
        <color theme="1"/>
        <rFont val="Times New Roman"/>
        <family val="1"/>
        <charset val="204"/>
      </rPr>
      <t>5</t>
    </r>
    <r>
      <rPr>
        <sz val="1"/>
        <color theme="1"/>
        <rFont val="Times New Roman"/>
        <family val="1"/>
        <charset val="204"/>
      </rPr>
      <t>​</t>
    </r>
    <r>
      <rPr>
        <sz val="10"/>
        <color theme="1"/>
        <rFont val="Times New Roman"/>
        <family val="1"/>
        <charset val="204"/>
      </rPr>
      <t xml:space="preserve"> &lt;= (0,3587 / (1 - 0,3587)) * 0,000758 </t>
    </r>
  </si>
  <si>
    <t>Δ5​ &lt;=</t>
  </si>
  <si>
    <t>Полученная апостреирорная оценка погрешности меньше заданной</t>
  </si>
  <si>
    <t xml:space="preserve">точности 0.001, процесс итераций можно считать успешно </t>
  </si>
  <si>
    <t>завершенным на 5-м шаге</t>
  </si>
  <si>
    <t>Сравниваем приближенное решение, полученное Зейделя, с точным</t>
  </si>
  <si>
    <t>Точное</t>
  </si>
  <si>
    <t>Зейделя</t>
  </si>
  <si>
    <t>Точное - Зейделя</t>
  </si>
  <si>
    <t>Максимальное отклонение:</t>
  </si>
  <si>
    <t>Фактическая абсолютная погрешность итерационного метода</t>
  </si>
  <si>
    <t>составила 3,4 * 10^-6, что меньше 0.001, что подтверждает</t>
  </si>
  <si>
    <t>корректность работы алгоритма</t>
  </si>
  <si>
    <t>Отличие Зейделя том, что при вычислении</t>
  </si>
  <si>
    <t>Запись название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</si>
</sst>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1"/>
      <color theme="1"/>
      <name val="Calibri"/>
      <family val="2"/>
      <charset val="204"/>
      <scheme val="minor"/>
    </font>
    <font>
      <sz val="13.3"/>
      <color theme="1"/>
      <name val="Times New Roman"/>
      <family val="1"/>
      <charset val="204"/>
    </font>
    <font>
      <sz val="7.5"/>
      <color theme="1"/>
      <name val="Times New Roman"/>
      <family val="1"/>
      <charset val="204"/>
    </font>
    <font>
      <vertAlign val="superscript"/>
      <sz val="11"/>
      <color theme="1"/>
      <name val="Calibri"/>
      <family val="2"/>
      <charset val="204"/>
      <scheme val="minor"/>
    </font>
    <font>
      <b/>
      <sz val="11"/>
      <color rgb="FFD4D4D4"/>
      <name val="Arial"/>
      <family val="2"/>
      <charset val="204"/>
    </font>
    <font>
      <sz val="11"/>
      <color theme="1"/>
      <name val="Times New Roman"/>
      <family val="1"/>
      <charset val="204"/>
    </font>
    <font>
      <i/>
      <sz val="10"/>
      <color theme="1"/>
      <name val="KaTeX_Math"/>
      <charset val="204"/>
    </font>
    <font>
      <sz val="10"/>
      <color theme="1"/>
      <name val="Times New Roman"/>
      <family val="1"/>
      <charset val="204"/>
    </font>
    <font>
      <vertAlign val="subscript"/>
      <sz val="11"/>
      <color theme="1"/>
      <name val="Calibri"/>
      <family val="2"/>
      <charset val="204"/>
      <scheme val="minor"/>
    </font>
    <font>
      <i/>
      <sz val="7.7"/>
      <color theme="1"/>
      <name val="KaTeX_Math"/>
    </font>
    <font>
      <sz val="7.7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2" borderId="0" xfId="0" applyFill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/>
    <xf numFmtId="0" fontId="0" fillId="0" borderId="14" xfId="0" applyBorder="1"/>
    <xf numFmtId="0" fontId="0" fillId="0" borderId="13" xfId="0" applyBorder="1"/>
    <xf numFmtId="0" fontId="4" fillId="0" borderId="0" xfId="0" applyFont="1"/>
    <xf numFmtId="0" fontId="5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3" borderId="0" xfId="0" applyFill="1"/>
    <xf numFmtId="0" fontId="0" fillId="4" borderId="0" xfId="0" applyFill="1" applyBorder="1"/>
    <xf numFmtId="0" fontId="0" fillId="4" borderId="7" xfId="0" applyFill="1" applyBorder="1"/>
    <xf numFmtId="0" fontId="0" fillId="4" borderId="0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7" borderId="7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right"/>
    </xf>
    <xf numFmtId="164" fontId="0" fillId="0" borderId="3" xfId="0" applyNumberFormat="1" applyBorder="1" applyAlignment="1">
      <alignment horizontal="left"/>
    </xf>
    <xf numFmtId="0" fontId="0" fillId="0" borderId="4" xfId="0" applyBorder="1" applyAlignment="1">
      <alignment horizontal="right"/>
    </xf>
    <xf numFmtId="164" fontId="0" fillId="0" borderId="5" xfId="0" applyNumberFormat="1" applyBorder="1" applyAlignment="1">
      <alignment horizontal="left"/>
    </xf>
    <xf numFmtId="0" fontId="0" fillId="0" borderId="6" xfId="0" applyBorder="1" applyAlignment="1">
      <alignment horizontal="right"/>
    </xf>
    <xf numFmtId="164" fontId="0" fillId="0" borderId="8" xfId="0" applyNumberFormat="1" applyBorder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7" fillId="0" borderId="0" xfId="0" applyFont="1"/>
    <xf numFmtId="0" fontId="0" fillId="0" borderId="1" xfId="0" applyFill="1" applyBorder="1" applyAlignment="1">
      <alignment horizontal="right"/>
    </xf>
    <xf numFmtId="0" fontId="0" fillId="0" borderId="4" xfId="0" applyFill="1" applyBorder="1" applyAlignment="1">
      <alignment horizontal="right"/>
    </xf>
    <xf numFmtId="0" fontId="0" fillId="0" borderId="6" xfId="0" applyFill="1" applyBorder="1" applyAlignment="1">
      <alignment horizontal="right"/>
    </xf>
    <xf numFmtId="0" fontId="6" fillId="3" borderId="0" xfId="0" applyFont="1" applyFill="1"/>
    <xf numFmtId="2" fontId="0" fillId="0" borderId="3" xfId="0" applyNumberFormat="1" applyBorder="1" applyAlignment="1">
      <alignment horizontal="left"/>
    </xf>
    <xf numFmtId="2" fontId="0" fillId="0" borderId="5" xfId="0" applyNumberFormat="1" applyBorder="1" applyAlignment="1">
      <alignment horizontal="left"/>
    </xf>
    <xf numFmtId="2" fontId="0" fillId="0" borderId="8" xfId="0" applyNumberFormat="1" applyBorder="1" applyAlignment="1">
      <alignment horizontal="left"/>
    </xf>
    <xf numFmtId="0" fontId="0" fillId="0" borderId="4" xfId="0" applyBorder="1" applyAlignment="1">
      <alignment vertical="top"/>
    </xf>
    <xf numFmtId="0" fontId="0" fillId="0" borderId="0" xfId="0" applyAlignment="1">
      <alignment vertical="top"/>
    </xf>
    <xf numFmtId="0" fontId="0" fillId="0" borderId="4" xfId="0" applyFill="1" applyBorder="1" applyAlignment="1">
      <alignment horizontal="left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1" fillId="0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0" fillId="3" borderId="9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177</xdr:row>
      <xdr:rowOff>0</xdr:rowOff>
    </xdr:from>
    <xdr:to>
      <xdr:col>3</xdr:col>
      <xdr:colOff>627768</xdr:colOff>
      <xdr:row>180</xdr:row>
      <xdr:rowOff>130419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EB1CD2-4AE2-4FA3-B823-DA2C74EDA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962411"/>
          <a:ext cx="3248478" cy="68589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103</xdr:row>
      <xdr:rowOff>0</xdr:rowOff>
    </xdr:from>
    <xdr:to>
      <xdr:col>9</xdr:col>
      <xdr:colOff>306265</xdr:colOff>
      <xdr:row>107</xdr:row>
      <xdr:rowOff>14349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B218B5D-6DE8-4D61-9D0B-3EB960600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22748" y="20061252"/>
          <a:ext cx="2200582" cy="7621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100B-4B84-47A3-BD61-3C04434D67EA}">
  <dimension ref="A1:R213"/>
  <sheetViews>
    <sheetView tabSelected="1" topLeftCell="A199" zoomScale="107" zoomScaleNormal="145" workbookViewId="0">
      <selection activeCell="C214" sqref="C214"/>
    </sheetView>
  </sheetViews>
  <sheetFormatPr defaultRowHeight="14.4"/>
  <cols>
    <col min="1" max="1" width="12.6640625" bestFit="1" customWidth="1"/>
    <col min="2" max="2" width="12.88671875" customWidth="1"/>
    <col min="3" max="4" width="12.6640625" bestFit="1" customWidth="1"/>
    <col min="5" max="5" width="8.88671875" customWidth="1"/>
    <col min="6" max="6" width="3.21875" customWidth="1"/>
    <col min="7" max="8" width="9.33203125" customWidth="1"/>
    <col min="12" max="12" width="3.21875" customWidth="1"/>
  </cols>
  <sheetData>
    <row r="1" spans="1:18" ht="15" thickBot="1">
      <c r="A1" s="16">
        <v>20.9</v>
      </c>
      <c r="B1" s="17">
        <v>1.2</v>
      </c>
      <c r="C1" s="17">
        <v>2.1</v>
      </c>
      <c r="D1" s="17">
        <v>0.9</v>
      </c>
      <c r="E1" s="13">
        <v>65</v>
      </c>
      <c r="F1" s="24"/>
      <c r="G1" s="24"/>
      <c r="H1" s="24"/>
      <c r="I1" s="24"/>
      <c r="J1" s="24"/>
      <c r="K1" s="24"/>
      <c r="L1" s="24"/>
      <c r="M1" t="s">
        <v>6</v>
      </c>
    </row>
    <row r="2" spans="1:18" ht="16.8">
      <c r="A2" s="7">
        <v>2.1</v>
      </c>
      <c r="B2" s="18">
        <v>1.5</v>
      </c>
      <c r="C2" s="18">
        <v>19.8</v>
      </c>
      <c r="D2" s="18">
        <v>1.3</v>
      </c>
      <c r="E2" s="14">
        <v>81.650000000000006</v>
      </c>
      <c r="F2" s="24"/>
      <c r="G2" s="21" t="s">
        <v>8</v>
      </c>
      <c r="H2" s="1"/>
      <c r="I2" s="1"/>
      <c r="J2" s="1"/>
      <c r="K2" s="2"/>
      <c r="L2" s="24"/>
      <c r="M2" s="8" t="s">
        <v>0</v>
      </c>
      <c r="N2" s="1"/>
      <c r="O2" s="1"/>
      <c r="P2" s="1"/>
      <c r="Q2" s="1" t="s">
        <v>4</v>
      </c>
      <c r="R2" s="2"/>
    </row>
    <row r="3" spans="1:18" ht="16.2">
      <c r="A3" s="7">
        <v>0.9</v>
      </c>
      <c r="B3" s="18">
        <v>2.5</v>
      </c>
      <c r="C3" s="18">
        <v>1.3</v>
      </c>
      <c r="D3" s="18">
        <v>13.1</v>
      </c>
      <c r="E3" s="14">
        <v>40.5</v>
      </c>
      <c r="F3" s="24"/>
      <c r="G3" s="22">
        <f>MDETERM(A1:D4)</f>
        <v>110104.36729999998</v>
      </c>
      <c r="H3" s="3"/>
      <c r="I3" s="3"/>
      <c r="J3" s="3"/>
      <c r="K3" s="4"/>
      <c r="L3" s="24"/>
      <c r="M3" s="9"/>
      <c r="N3" s="3"/>
      <c r="O3" s="3"/>
      <c r="P3" s="3"/>
      <c r="Q3" s="3" t="s">
        <v>5</v>
      </c>
      <c r="R3" s="4"/>
    </row>
    <row r="4" spans="1:18" ht="17.399999999999999" thickBot="1">
      <c r="A4" s="19">
        <v>-1.2</v>
      </c>
      <c r="B4" s="20">
        <v>21.2</v>
      </c>
      <c r="C4" s="20">
        <v>1.5</v>
      </c>
      <c r="D4" s="20">
        <v>2.5</v>
      </c>
      <c r="E4" s="15">
        <v>70.849999999999994</v>
      </c>
      <c r="F4" s="24"/>
      <c r="G4" s="23" t="s">
        <v>7</v>
      </c>
      <c r="H4" s="5"/>
      <c r="I4" s="5"/>
      <c r="J4" s="5"/>
      <c r="K4" s="6"/>
      <c r="L4" s="24"/>
      <c r="M4" s="10" t="s">
        <v>1</v>
      </c>
      <c r="N4" s="3"/>
      <c r="O4" s="3"/>
      <c r="P4" s="3"/>
      <c r="Q4" s="3"/>
      <c r="R4" s="4"/>
    </row>
    <row r="5" spans="1:18" ht="15" thickBot="1">
      <c r="A5" s="24" t="s">
        <v>9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9"/>
      <c r="N5" s="3"/>
      <c r="O5" s="3"/>
      <c r="P5" s="3"/>
      <c r="Q5" s="3"/>
      <c r="R5" s="4"/>
    </row>
    <row r="6" spans="1:18" ht="16.8">
      <c r="A6" s="21">
        <f t="array" ref="A6:D9">MINVERSE(A1:D4)</f>
        <v>4.8313732964886669E-2</v>
      </c>
      <c r="B6" s="1">
        <v>-4.8043325889035827E-3</v>
      </c>
      <c r="C6" s="1">
        <v>-2.4403936609333752E-3</v>
      </c>
      <c r="D6" s="2">
        <v>-2.1070281378384524E-3</v>
      </c>
      <c r="E6" s="24"/>
      <c r="M6" s="10" t="s">
        <v>2</v>
      </c>
      <c r="N6" s="3"/>
      <c r="O6" s="3"/>
      <c r="P6" s="3"/>
      <c r="Q6" s="3"/>
      <c r="R6" s="4"/>
    </row>
    <row r="7" spans="1:18">
      <c r="A7" s="22">
        <v>3.5099697630250133E-3</v>
      </c>
      <c r="B7" s="3">
        <v>-3.4319982873195257E-3</v>
      </c>
      <c r="C7" s="3">
        <v>-9.1160144198930426E-3</v>
      </c>
      <c r="D7" s="4">
        <v>4.8288965554956695E-2</v>
      </c>
      <c r="E7" s="24"/>
      <c r="M7" s="9"/>
      <c r="N7" s="3"/>
      <c r="O7" s="3"/>
      <c r="P7" s="3"/>
      <c r="Q7" s="3"/>
      <c r="R7" s="4"/>
    </row>
    <row r="8" spans="1:18" ht="17.399999999999999" thickBot="1">
      <c r="A8" s="22">
        <v>-5.1618115969138314E-3</v>
      </c>
      <c r="B8" s="3">
        <v>5.1545775514392329E-2</v>
      </c>
      <c r="C8" s="3">
        <v>-4.2152097267444174E-3</v>
      </c>
      <c r="D8" s="4">
        <v>-2.8578521244542856E-3</v>
      </c>
      <c r="E8" s="24"/>
      <c r="M8" s="11" t="s">
        <v>3</v>
      </c>
      <c r="N8" s="5"/>
      <c r="O8" s="5"/>
      <c r="P8" s="5"/>
      <c r="Q8" s="5"/>
      <c r="R8" s="6"/>
    </row>
    <row r="9" spans="1:18" ht="15" thickBot="1">
      <c r="A9" s="23">
        <v>-3.476864809158211E-3</v>
      </c>
      <c r="B9" s="5">
        <v>-4.130199474839542E-3</v>
      </c>
      <c r="C9" s="5">
        <v>7.8661539159491631E-2</v>
      </c>
      <c r="D9" s="6">
        <v>-8.7870901375226382E-3</v>
      </c>
      <c r="E9" s="24"/>
    </row>
    <row r="10" spans="1:18" ht="15" thickBot="1">
      <c r="A10" s="24" t="s">
        <v>13</v>
      </c>
      <c r="B10" s="24"/>
      <c r="C10" s="24"/>
      <c r="D10" s="24"/>
      <c r="E10" s="24"/>
    </row>
    <row r="11" spans="1:18" ht="16.2">
      <c r="A11" s="26" t="s">
        <v>10</v>
      </c>
      <c r="B11" s="26" t="s">
        <v>11</v>
      </c>
      <c r="E11" s="24"/>
      <c r="G11" s="31"/>
    </row>
    <row r="12" spans="1:18">
      <c r="A12" s="27">
        <f>SUM(A1:D1)</f>
        <v>25.099999999999998</v>
      </c>
      <c r="B12" s="27">
        <f>SUM(A6:D6)</f>
        <v>3.8961978577211259E-2</v>
      </c>
      <c r="E12" s="24"/>
      <c r="G12" s="32"/>
    </row>
    <row r="13" spans="1:18">
      <c r="A13" s="27">
        <f>SUM(A2:D2)</f>
        <v>24.700000000000003</v>
      </c>
      <c r="B13" s="27">
        <f t="shared" ref="B13:B15" si="0">SUM(A7:D7)</f>
        <v>3.9250922610769137E-2</v>
      </c>
      <c r="E13" s="24"/>
      <c r="G13" s="31"/>
    </row>
    <row r="14" spans="1:18">
      <c r="A14" s="27">
        <f>SUM(A3:D3)</f>
        <v>17.8</v>
      </c>
      <c r="B14" s="27">
        <f t="shared" si="0"/>
        <v>3.9310902066279789E-2</v>
      </c>
      <c r="E14" s="24"/>
    </row>
    <row r="15" spans="1:18" ht="15" thickBot="1">
      <c r="A15" s="27">
        <f>SUM(A4:D4)</f>
        <v>24</v>
      </c>
      <c r="B15" s="27">
        <f t="shared" si="0"/>
        <v>6.2267384737971242E-2</v>
      </c>
      <c r="E15" s="24"/>
    </row>
    <row r="16" spans="1:18" ht="15" thickBot="1">
      <c r="A16" s="82">
        <f>MAX(A12:A15)</f>
        <v>25.099999999999998</v>
      </c>
      <c r="B16" s="26">
        <f>MAX(B12:B15)</f>
        <v>6.2267384737971242E-2</v>
      </c>
      <c r="E16" s="24"/>
    </row>
    <row r="17" spans="1:6" ht="15" thickBot="1">
      <c r="A17" s="28" t="s">
        <v>12</v>
      </c>
      <c r="B17" s="29"/>
      <c r="C17" s="30">
        <f xml:space="preserve"> A16 * B16</f>
        <v>1.5629113569230781</v>
      </c>
      <c r="E17" s="24"/>
    </row>
    <row r="18" spans="1:6">
      <c r="A18" t="s">
        <v>14</v>
      </c>
      <c r="E18" s="24"/>
    </row>
    <row r="19" spans="1:6" ht="15" thickBot="1">
      <c r="A19" s="24" t="s">
        <v>15</v>
      </c>
      <c r="B19" s="24" t="s">
        <v>20</v>
      </c>
      <c r="C19" s="24"/>
      <c r="D19" s="24"/>
      <c r="E19" s="24"/>
      <c r="F19" s="24"/>
    </row>
    <row r="20" spans="1:6">
      <c r="A20" s="55">
        <v>21.2</v>
      </c>
      <c r="B20" s="47">
        <v>-1.2</v>
      </c>
      <c r="C20" s="47">
        <v>1.5</v>
      </c>
      <c r="D20" s="48">
        <v>2.5</v>
      </c>
      <c r="E20" s="13">
        <v>70.849999999999994</v>
      </c>
      <c r="F20" s="24"/>
    </row>
    <row r="21" spans="1:6">
      <c r="A21" s="49">
        <v>1.5</v>
      </c>
      <c r="B21" s="50">
        <v>2.1</v>
      </c>
      <c r="C21" s="50">
        <v>19.8</v>
      </c>
      <c r="D21" s="51">
        <v>1.3</v>
      </c>
      <c r="E21" s="14">
        <v>81.650000000000006</v>
      </c>
      <c r="F21" s="24"/>
    </row>
    <row r="22" spans="1:6">
      <c r="A22" s="49">
        <v>2.5</v>
      </c>
      <c r="B22" s="50">
        <v>0.9</v>
      </c>
      <c r="C22" s="50">
        <v>1.3</v>
      </c>
      <c r="D22" s="51">
        <v>13.1</v>
      </c>
      <c r="E22" s="14">
        <v>40.5</v>
      </c>
      <c r="F22" s="24"/>
    </row>
    <row r="23" spans="1:6" ht="15" thickBot="1">
      <c r="A23" s="52">
        <v>1.2</v>
      </c>
      <c r="B23" s="53">
        <v>20.9</v>
      </c>
      <c r="C23" s="53">
        <v>2.1</v>
      </c>
      <c r="D23" s="54">
        <v>0.9</v>
      </c>
      <c r="E23" s="15">
        <v>65</v>
      </c>
      <c r="F23" s="24"/>
    </row>
    <row r="24" spans="1:6">
      <c r="A24" s="12" t="s">
        <v>16</v>
      </c>
      <c r="B24" s="12" t="s">
        <v>17</v>
      </c>
      <c r="C24" s="12" t="s">
        <v>18</v>
      </c>
      <c r="D24" s="12" t="s">
        <v>19</v>
      </c>
      <c r="F24" s="24"/>
    </row>
    <row r="25" spans="1:6" ht="15" thickBot="1">
      <c r="A25" s="24" t="s">
        <v>21</v>
      </c>
      <c r="B25" s="24"/>
      <c r="C25" s="24"/>
      <c r="D25" s="24"/>
      <c r="E25" s="24"/>
      <c r="F25" s="24"/>
    </row>
    <row r="26" spans="1:6">
      <c r="A26" s="46">
        <f>A20/21.2</f>
        <v>1</v>
      </c>
      <c r="B26" s="47">
        <f t="shared" ref="B26:D26" si="1">B20/21.2</f>
        <v>-5.6603773584905662E-2</v>
      </c>
      <c r="C26" s="47">
        <f t="shared" si="1"/>
        <v>7.0754716981132074E-2</v>
      </c>
      <c r="D26" s="48">
        <f t="shared" si="1"/>
        <v>0.11792452830188679</v>
      </c>
      <c r="E26" s="13">
        <f>E20/21.2</f>
        <v>3.3419811320754715</v>
      </c>
      <c r="F26" s="24"/>
    </row>
    <row r="27" spans="1:6">
      <c r="A27" s="49">
        <f>A21 - A$26 * $A$21</f>
        <v>0</v>
      </c>
      <c r="B27" s="50">
        <f t="shared" ref="B27:D27" si="2">B21 - B$26 * $A$21</f>
        <v>2.1849056603773587</v>
      </c>
      <c r="C27" s="50">
        <f t="shared" si="2"/>
        <v>19.693867924528302</v>
      </c>
      <c r="D27" s="51">
        <f t="shared" si="2"/>
        <v>1.1231132075471699</v>
      </c>
      <c r="E27" s="14">
        <f>E21 - E$26 * A21</f>
        <v>76.637028301886801</v>
      </c>
      <c r="F27" s="24"/>
    </row>
    <row r="28" spans="1:6">
      <c r="A28" s="49">
        <f>A22 - A$26 * $A$22</f>
        <v>0</v>
      </c>
      <c r="B28" s="50">
        <f t="shared" ref="B28:D28" si="3">B22 - B$26 * $A$22</f>
        <v>1.0415094339622641</v>
      </c>
      <c r="C28" s="50">
        <f t="shared" si="3"/>
        <v>1.1231132075471699</v>
      </c>
      <c r="D28" s="51">
        <f t="shared" si="3"/>
        <v>12.805188679245283</v>
      </c>
      <c r="E28" s="56">
        <f>E22 - E$26 * $A$22</f>
        <v>32.14504716981132</v>
      </c>
      <c r="F28" s="24"/>
    </row>
    <row r="29" spans="1:6" ht="15" thickBot="1">
      <c r="A29" s="52">
        <f>A23 - A$26 * $A$23</f>
        <v>0</v>
      </c>
      <c r="B29" s="53">
        <f t="shared" ref="B29:D29" si="4">B23 - B$26 * $A$23</f>
        <v>20.967924528301886</v>
      </c>
      <c r="C29" s="53">
        <f t="shared" si="4"/>
        <v>2.0150943396226415</v>
      </c>
      <c r="D29" s="54">
        <f t="shared" si="4"/>
        <v>0.7584905660377359</v>
      </c>
      <c r="E29" s="57">
        <f>(E23 - E$26 * $A$23) / B29</f>
        <v>2.9087105192117342</v>
      </c>
      <c r="F29" s="24"/>
    </row>
    <row r="30" spans="1:6">
      <c r="A30" s="12" t="s">
        <v>16</v>
      </c>
      <c r="B30" s="12" t="s">
        <v>17</v>
      </c>
      <c r="C30" s="12" t="s">
        <v>18</v>
      </c>
      <c r="D30" s="12" t="s">
        <v>19</v>
      </c>
      <c r="F30" s="24"/>
    </row>
    <row r="31" spans="1:6" ht="15" thickBot="1">
      <c r="A31" s="24" t="s">
        <v>22</v>
      </c>
      <c r="B31" s="24"/>
      <c r="C31" s="24"/>
      <c r="D31" s="24"/>
      <c r="E31" s="24"/>
      <c r="F31" s="24"/>
    </row>
    <row r="32" spans="1:6">
      <c r="A32" s="33">
        <v>1</v>
      </c>
      <c r="B32" s="34">
        <v>-5.6603773584905662E-2</v>
      </c>
      <c r="C32" s="34">
        <v>7.0754716981132074E-2</v>
      </c>
      <c r="D32" s="34">
        <v>0.11792452830188679</v>
      </c>
      <c r="E32" s="26">
        <v>3.3419811320754715</v>
      </c>
      <c r="F32" s="24"/>
    </row>
    <row r="33" spans="1:6">
      <c r="A33" s="35">
        <v>0</v>
      </c>
      <c r="B33" s="44">
        <f>B29 / $B$29</f>
        <v>1</v>
      </c>
      <c r="C33" s="44">
        <f t="shared" ref="C33:D33" si="5">C29 / $B$29</f>
        <v>9.6103662377395843E-2</v>
      </c>
      <c r="D33" s="44">
        <f t="shared" si="5"/>
        <v>3.6173850445424281E-2</v>
      </c>
      <c r="E33" s="27">
        <v>2.9087109999999998</v>
      </c>
      <c r="F33" s="24"/>
    </row>
    <row r="34" spans="1:6">
      <c r="A34" s="35">
        <v>0</v>
      </c>
      <c r="B34" s="44">
        <f>B28 - B$33 * $B$28</f>
        <v>0</v>
      </c>
      <c r="C34" s="44">
        <f>C28 - C$33 * $B$28</f>
        <v>1.0230203365427879</v>
      </c>
      <c r="D34" s="44">
        <f t="shared" ref="D34:E34" si="6">D28 - D$33 * $B$28</f>
        <v>12.767513272743633</v>
      </c>
      <c r="E34" s="78">
        <f t="shared" si="6"/>
        <v>29.115597222641508</v>
      </c>
      <c r="F34" s="24"/>
    </row>
    <row r="35" spans="1:6" ht="15" thickBot="1">
      <c r="A35" s="36">
        <v>0</v>
      </c>
      <c r="B35" s="45">
        <f>B29 - B$33 * $B$29</f>
        <v>0</v>
      </c>
      <c r="C35" s="58">
        <f>C27 - C$33 * $B$27</f>
        <v>19.483890488616936</v>
      </c>
      <c r="D35" s="58">
        <f t="shared" ref="D35:E35" si="7">D27 - D$33 * $B$27</f>
        <v>1.0440767569513183</v>
      </c>
      <c r="E35" s="79">
        <f t="shared" si="7"/>
        <v>70.281769173584919</v>
      </c>
      <c r="F35" s="24"/>
    </row>
    <row r="36" spans="1:6">
      <c r="A36" s="25" t="s">
        <v>16</v>
      </c>
      <c r="B36" s="25" t="s">
        <v>17</v>
      </c>
      <c r="C36" s="25" t="s">
        <v>18</v>
      </c>
      <c r="D36" s="25" t="s">
        <v>19</v>
      </c>
      <c r="E36" s="25"/>
      <c r="F36" s="24"/>
    </row>
    <row r="37" spans="1:6" ht="15" thickBot="1">
      <c r="A37" s="24" t="s">
        <v>23</v>
      </c>
      <c r="B37" s="24"/>
      <c r="C37" s="24"/>
      <c r="D37" s="24"/>
      <c r="E37" s="24"/>
      <c r="F37" s="24"/>
    </row>
    <row r="38" spans="1:6">
      <c r="A38" s="21">
        <v>1</v>
      </c>
      <c r="B38" s="1">
        <v>-5.6603773584905662E-2</v>
      </c>
      <c r="C38" s="1">
        <v>7.0754716981132074E-2</v>
      </c>
      <c r="D38" s="1">
        <v>0.11792452830188679</v>
      </c>
      <c r="E38" s="38">
        <v>3.3419811320754715</v>
      </c>
      <c r="F38" s="41"/>
    </row>
    <row r="39" spans="1:6">
      <c r="A39" s="22">
        <v>0</v>
      </c>
      <c r="B39" s="3">
        <v>1</v>
      </c>
      <c r="C39" s="3">
        <v>9.6103662377395843E-2</v>
      </c>
      <c r="D39" s="3">
        <v>3.6173850445424281E-2</v>
      </c>
      <c r="E39" s="27">
        <v>2.9087109999999998</v>
      </c>
      <c r="F39" s="41"/>
    </row>
    <row r="40" spans="1:6">
      <c r="A40" s="22">
        <v>0</v>
      </c>
      <c r="B40" s="3">
        <v>0</v>
      </c>
      <c r="C40" s="42">
        <v>1</v>
      </c>
      <c r="D40" s="42">
        <f>D35/$C$35</f>
        <v>5.3586667280915934E-2</v>
      </c>
      <c r="E40" s="39">
        <f>E35/C35</f>
        <v>3.6071732806466761</v>
      </c>
      <c r="F40" s="41"/>
    </row>
    <row r="41" spans="1:6" ht="15" thickBot="1">
      <c r="A41" s="23">
        <v>0</v>
      </c>
      <c r="B41" s="5">
        <v>0</v>
      </c>
      <c r="C41" s="43">
        <f>C34 - C$40 * $C$34</f>
        <v>0</v>
      </c>
      <c r="D41" s="43">
        <f xml:space="preserve"> 12.8051886792453 / 12.8051886792453</f>
        <v>1</v>
      </c>
      <c r="E41" s="40">
        <f xml:space="preserve"> (E34 - C34 * E40) / (D34 - C34 * D40)</f>
        <v>1.9999999649492666</v>
      </c>
      <c r="F41" s="41"/>
    </row>
    <row r="42" spans="1:6">
      <c r="A42" t="s">
        <v>16</v>
      </c>
      <c r="B42" t="s">
        <v>17</v>
      </c>
      <c r="C42" t="s">
        <v>18</v>
      </c>
      <c r="D42" t="s">
        <v>19</v>
      </c>
      <c r="F42" s="41"/>
    </row>
    <row r="43" spans="1:6" ht="15" thickBot="1">
      <c r="A43" s="41"/>
      <c r="B43" s="41"/>
      <c r="C43" s="41"/>
      <c r="D43" s="41"/>
      <c r="E43" s="41"/>
      <c r="F43" s="41"/>
    </row>
    <row r="44" spans="1:6">
      <c r="A44" s="60" t="s">
        <v>24</v>
      </c>
      <c r="B44" s="61">
        <v>2</v>
      </c>
      <c r="D44" t="s">
        <v>17</v>
      </c>
      <c r="E44">
        <v>2.5</v>
      </c>
      <c r="F44" s="41"/>
    </row>
    <row r="45" spans="1:6">
      <c r="A45" s="62" t="s">
        <v>25</v>
      </c>
      <c r="B45" s="63">
        <f>E40 - (D40 * 2)</f>
        <v>3.4999999460848441</v>
      </c>
      <c r="D45" t="s">
        <v>16</v>
      </c>
      <c r="E45">
        <v>3</v>
      </c>
      <c r="F45" s="41"/>
    </row>
    <row r="46" spans="1:6">
      <c r="A46" s="62" t="s">
        <v>26</v>
      </c>
      <c r="B46" s="63">
        <f>E39 - (C39 * B45) - (D39 * B44)</f>
        <v>2.5000004859697098</v>
      </c>
      <c r="D46" t="s">
        <v>18</v>
      </c>
      <c r="E46">
        <v>3.5</v>
      </c>
      <c r="F46" s="41"/>
    </row>
    <row r="47" spans="1:6" ht="15" thickBot="1">
      <c r="A47" s="64" t="s">
        <v>27</v>
      </c>
      <c r="B47" s="65">
        <f>E38 - (B38 * B46) - (C38 * B45) - (D38 * B44)</f>
        <v>3.0000000313224708</v>
      </c>
      <c r="D47" t="s">
        <v>19</v>
      </c>
      <c r="E47">
        <v>2</v>
      </c>
      <c r="F47" s="41"/>
    </row>
    <row r="48" spans="1:6" ht="15" thickBot="1">
      <c r="A48" s="41"/>
      <c r="B48" s="41"/>
      <c r="C48" s="41"/>
      <c r="D48" s="41"/>
      <c r="E48" s="41"/>
      <c r="F48" s="41"/>
    </row>
    <row r="49" spans="1:6" ht="16.8">
      <c r="A49" s="68" t="s">
        <v>28</v>
      </c>
      <c r="B49" s="72">
        <f xml:space="preserve"> ABS(B46 - E44)</f>
        <v>4.8596970980696597E-7</v>
      </c>
      <c r="F49" s="41"/>
    </row>
    <row r="50" spans="1:6" ht="16.8">
      <c r="A50" s="69" t="s">
        <v>29</v>
      </c>
      <c r="B50" s="73">
        <f t="shared" ref="B50" si="8" xml:space="preserve"> ABS(B47 - E45)</f>
        <v>3.1322470839256766E-8</v>
      </c>
      <c r="C50" s="67" t="s">
        <v>32</v>
      </c>
      <c r="F50" s="41"/>
    </row>
    <row r="51" spans="1:6" ht="16.8">
      <c r="A51" s="69" t="s">
        <v>30</v>
      </c>
      <c r="B51" s="73">
        <f xml:space="preserve"> ABS(B45 - E46)</f>
        <v>5.3915155895367661E-8</v>
      </c>
      <c r="C51" s="75"/>
      <c r="D51" s="76"/>
      <c r="E51" s="76"/>
      <c r="F51" s="41"/>
    </row>
    <row r="52" spans="1:6" ht="17.399999999999999" thickBot="1">
      <c r="A52" s="70" t="s">
        <v>31</v>
      </c>
      <c r="B52" s="74">
        <f xml:space="preserve"> ABS(B44 - E47)</f>
        <v>0</v>
      </c>
      <c r="C52" s="75"/>
      <c r="D52" s="76"/>
      <c r="E52" s="76"/>
      <c r="F52" s="41"/>
    </row>
    <row r="53" spans="1:6" ht="15" thickBot="1">
      <c r="A53" s="71"/>
      <c r="B53" s="41"/>
      <c r="C53" s="41"/>
      <c r="D53" s="41"/>
      <c r="E53" s="41"/>
      <c r="F53" s="41"/>
    </row>
    <row r="54" spans="1:6">
      <c r="A54" s="21" t="s">
        <v>33</v>
      </c>
      <c r="B54" s="1"/>
      <c r="C54" s="1"/>
      <c r="D54" s="1"/>
      <c r="E54" s="2"/>
      <c r="F54" s="41"/>
    </row>
    <row r="55" spans="1:6">
      <c r="A55" s="77" t="s">
        <v>34</v>
      </c>
      <c r="B55" s="3"/>
      <c r="C55" s="3"/>
      <c r="D55" s="3"/>
      <c r="E55" s="4"/>
      <c r="F55" s="41"/>
    </row>
    <row r="56" spans="1:6">
      <c r="A56" s="22" t="s">
        <v>35</v>
      </c>
      <c r="B56" s="3"/>
      <c r="C56" s="3"/>
      <c r="D56" s="3"/>
      <c r="E56" s="4"/>
      <c r="F56" s="41"/>
    </row>
    <row r="57" spans="1:6" ht="15" thickBot="1">
      <c r="A57" s="23" t="s">
        <v>36</v>
      </c>
      <c r="B57" s="5"/>
      <c r="C57" s="5"/>
      <c r="D57" s="5"/>
      <c r="E57" s="6"/>
      <c r="F57" s="41"/>
    </row>
    <row r="58" spans="1:6">
      <c r="A58" s="41"/>
      <c r="B58" s="41"/>
      <c r="C58" s="41"/>
      <c r="D58" s="41"/>
      <c r="E58" s="41"/>
      <c r="F58" s="41"/>
    </row>
    <row r="59" spans="1:6">
      <c r="A59" s="59" t="s">
        <v>42</v>
      </c>
      <c r="F59" s="41"/>
    </row>
    <row r="60" spans="1:6">
      <c r="A60" s="59" t="s">
        <v>37</v>
      </c>
      <c r="F60" s="41"/>
    </row>
    <row r="61" spans="1:6">
      <c r="A61" s="59" t="s">
        <v>38</v>
      </c>
      <c r="F61" s="41"/>
    </row>
    <row r="62" spans="1:6">
      <c r="A62" s="59" t="s">
        <v>39</v>
      </c>
      <c r="F62" s="41"/>
    </row>
    <row r="63" spans="1:6">
      <c r="F63" s="41"/>
    </row>
    <row r="64" spans="1:6">
      <c r="A64" s="59" t="s">
        <v>49</v>
      </c>
      <c r="F64" s="41"/>
    </row>
    <row r="65" spans="1:6" ht="16.8">
      <c r="A65" s="66" t="s">
        <v>0</v>
      </c>
      <c r="F65" s="41"/>
    </row>
    <row r="66" spans="1:6" ht="16.8">
      <c r="A66" s="66" t="s">
        <v>40</v>
      </c>
      <c r="F66" s="41"/>
    </row>
    <row r="67" spans="1:6" ht="16.8">
      <c r="A67" s="10" t="s">
        <v>41</v>
      </c>
      <c r="F67" s="41"/>
    </row>
    <row r="68" spans="1:6" ht="16.8">
      <c r="A68" s="10" t="s">
        <v>43</v>
      </c>
      <c r="F68" s="41"/>
    </row>
    <row r="69" spans="1:6">
      <c r="F69" s="41"/>
    </row>
    <row r="70" spans="1:6" ht="16.8">
      <c r="A70" s="81" t="s">
        <v>48</v>
      </c>
      <c r="B70" s="41"/>
      <c r="C70" s="41"/>
      <c r="D70" s="41"/>
      <c r="E70" s="41"/>
      <c r="F70" s="41"/>
    </row>
    <row r="71" spans="1:6" ht="16.8">
      <c r="A71" s="80" t="s">
        <v>44</v>
      </c>
      <c r="F71" s="41"/>
    </row>
    <row r="72" spans="1:6" ht="16.8">
      <c r="A72" s="80" t="s">
        <v>45</v>
      </c>
      <c r="F72" s="41"/>
    </row>
    <row r="73" spans="1:6" ht="16.8">
      <c r="A73" s="80" t="s">
        <v>46</v>
      </c>
      <c r="F73" s="41"/>
    </row>
    <row r="74" spans="1:6" ht="16.8">
      <c r="A74" s="80" t="s">
        <v>47</v>
      </c>
      <c r="F74" s="41"/>
    </row>
    <row r="75" spans="1:6" ht="16.8">
      <c r="A75" s="80" t="s">
        <v>134</v>
      </c>
      <c r="F75" s="41"/>
    </row>
    <row r="76" spans="1:6" ht="16.2" customHeight="1">
      <c r="A76" t="s">
        <v>50</v>
      </c>
      <c r="F76" s="41"/>
    </row>
    <row r="77" spans="1:6" ht="16.2" customHeight="1">
      <c r="A77" s="80" t="s">
        <v>51</v>
      </c>
      <c r="F77" s="41"/>
    </row>
    <row r="78" spans="1:6" ht="16.8">
      <c r="A78" s="80" t="s">
        <v>52</v>
      </c>
      <c r="F78" s="41"/>
    </row>
    <row r="79" spans="1:6" ht="16.8">
      <c r="A79" s="80" t="s">
        <v>53</v>
      </c>
      <c r="F79" s="41"/>
    </row>
    <row r="80" spans="1:6" ht="16.8">
      <c r="A80" s="80" t="s">
        <v>54</v>
      </c>
      <c r="F80" s="41"/>
    </row>
    <row r="81" spans="1:13">
      <c r="F81" s="41"/>
    </row>
    <row r="82" spans="1:13" ht="16.8">
      <c r="A82" s="80" t="s">
        <v>55</v>
      </c>
      <c r="F82" s="41"/>
    </row>
    <row r="83" spans="1:13" ht="16.8">
      <c r="A83" s="80" t="s">
        <v>56</v>
      </c>
      <c r="F83" s="41"/>
    </row>
    <row r="84" spans="1:13" ht="16.8">
      <c r="A84" s="80" t="s">
        <v>57</v>
      </c>
      <c r="F84" s="41"/>
    </row>
    <row r="85" spans="1:13" ht="16.8">
      <c r="A85" s="80" t="s">
        <v>58</v>
      </c>
      <c r="F85" s="41"/>
    </row>
    <row r="86" spans="1:13">
      <c r="F86" s="41"/>
    </row>
    <row r="87" spans="1:13" ht="17.399999999999999" thickBot="1">
      <c r="A87" s="80" t="s">
        <v>59</v>
      </c>
      <c r="F87" s="41"/>
    </row>
    <row r="88" spans="1:13">
      <c r="A88" s="21">
        <v>0</v>
      </c>
      <c r="B88" s="1">
        <v>-0.57399999999999995</v>
      </c>
      <c r="C88" s="1">
        <v>-0.10050000000000001</v>
      </c>
      <c r="D88" s="2">
        <v>-4.3099999999999999E-2</v>
      </c>
      <c r="E88" s="2">
        <v>3.11</v>
      </c>
      <c r="F88" s="41"/>
    </row>
    <row r="89" spans="1:13">
      <c r="A89" s="22">
        <v>5.6599999999999998E-2</v>
      </c>
      <c r="B89" s="3">
        <v>0</v>
      </c>
      <c r="C89" s="3">
        <v>-7.0800000000000002E-2</v>
      </c>
      <c r="D89" s="4">
        <v>-0.1179</v>
      </c>
      <c r="E89" s="4">
        <v>3.3420000000000001</v>
      </c>
      <c r="F89" s="41"/>
    </row>
    <row r="90" spans="1:13">
      <c r="A90" s="22">
        <v>-0.1061</v>
      </c>
      <c r="B90" s="3">
        <v>-7.5800000000000006E-2</v>
      </c>
      <c r="C90" s="3">
        <v>0</v>
      </c>
      <c r="D90" s="4">
        <v>-6.5699999999999995E-2</v>
      </c>
      <c r="E90" s="4">
        <v>4.1237000000000004</v>
      </c>
      <c r="F90" s="41"/>
    </row>
    <row r="91" spans="1:13" ht="15" thickBot="1">
      <c r="A91" s="23">
        <v>-6.8699999999999997E-2</v>
      </c>
      <c r="B91" s="5">
        <v>-0.1908</v>
      </c>
      <c r="C91" s="5">
        <v>-9.9199999999999997E-2</v>
      </c>
      <c r="D91" s="6">
        <v>0</v>
      </c>
      <c r="E91" s="6">
        <v>3.0916000000000001</v>
      </c>
      <c r="F91" s="41"/>
    </row>
    <row r="92" spans="1:13" ht="15" thickBot="1">
      <c r="A92" t="s">
        <v>62</v>
      </c>
      <c r="F92" s="41"/>
    </row>
    <row r="93" spans="1:13">
      <c r="D93" s="25" t="s">
        <v>17</v>
      </c>
      <c r="E93" s="83" t="s">
        <v>60</v>
      </c>
      <c r="F93" s="41"/>
      <c r="G93" s="21">
        <v>0</v>
      </c>
      <c r="H93" s="1">
        <v>-0.57399999999999995</v>
      </c>
      <c r="I93" s="1">
        <v>-0.10050000000000001</v>
      </c>
      <c r="J93" s="2">
        <v>-4.3099999999999999E-2</v>
      </c>
      <c r="K93" s="26" t="s">
        <v>17</v>
      </c>
      <c r="L93" s="84" t="s">
        <v>61</v>
      </c>
      <c r="M93" s="2">
        <v>3.11</v>
      </c>
    </row>
    <row r="94" spans="1:13">
      <c r="D94" s="25" t="s">
        <v>16</v>
      </c>
      <c r="E94" s="83"/>
      <c r="F94" s="41"/>
      <c r="G94" s="22">
        <v>5.6599999999999998E-2</v>
      </c>
      <c r="H94" s="3">
        <v>0</v>
      </c>
      <c r="I94" s="3">
        <v>-7.0800000000000002E-2</v>
      </c>
      <c r="J94" s="4">
        <v>-0.1179</v>
      </c>
      <c r="K94" s="27" t="s">
        <v>16</v>
      </c>
      <c r="L94" s="85"/>
      <c r="M94" s="4">
        <v>3.3420000000000001</v>
      </c>
    </row>
    <row r="95" spans="1:13">
      <c r="D95" s="25" t="s">
        <v>18</v>
      </c>
      <c r="E95" s="83"/>
      <c r="F95" s="41"/>
      <c r="G95" s="22">
        <v>-0.1061</v>
      </c>
      <c r="H95" s="3">
        <v>-7.5800000000000006E-2</v>
      </c>
      <c r="I95" s="3">
        <v>0</v>
      </c>
      <c r="J95" s="4">
        <v>-6.5699999999999995E-2</v>
      </c>
      <c r="K95" s="27" t="s">
        <v>18</v>
      </c>
      <c r="L95" s="85"/>
      <c r="M95" s="4">
        <v>4.1237000000000004</v>
      </c>
    </row>
    <row r="96" spans="1:13" ht="15" thickBot="1">
      <c r="D96" s="25" t="s">
        <v>19</v>
      </c>
      <c r="E96" s="83"/>
      <c r="F96" s="41"/>
      <c r="G96" s="23">
        <v>-6.8699999999999997E-2</v>
      </c>
      <c r="H96" s="5">
        <v>-0.1908</v>
      </c>
      <c r="I96" s="5">
        <v>-9.9199999999999997E-2</v>
      </c>
      <c r="J96" s="6">
        <v>0</v>
      </c>
      <c r="K96" s="37" t="s">
        <v>19</v>
      </c>
      <c r="L96" s="86"/>
      <c r="M96" s="6">
        <v>3.0916000000000001</v>
      </c>
    </row>
    <row r="97" spans="1:6">
      <c r="F97" s="41"/>
    </row>
    <row r="98" spans="1:6">
      <c r="A98" t="s">
        <v>63</v>
      </c>
      <c r="F98" s="41"/>
    </row>
    <row r="99" spans="1:6">
      <c r="A99" t="s">
        <v>64</v>
      </c>
      <c r="F99" s="41"/>
    </row>
    <row r="100" spans="1:6">
      <c r="A100" t="s">
        <v>65</v>
      </c>
      <c r="F100" s="41"/>
    </row>
    <row r="101" spans="1:6">
      <c r="A101" t="s">
        <v>66</v>
      </c>
      <c r="F101" s="41"/>
    </row>
    <row r="102" spans="1:6">
      <c r="A102" s="41"/>
      <c r="B102" s="41"/>
      <c r="C102" s="41"/>
      <c r="D102" s="41"/>
      <c r="E102" s="41"/>
      <c r="F102" s="41"/>
    </row>
    <row r="103" spans="1:6">
      <c r="A103" t="s">
        <v>67</v>
      </c>
      <c r="F103" s="41"/>
    </row>
    <row r="104" spans="1:6">
      <c r="A104" t="s">
        <v>68</v>
      </c>
      <c r="F104" s="41"/>
    </row>
    <row r="105" spans="1:6" ht="15" thickBot="1">
      <c r="F105" s="41"/>
    </row>
    <row r="106" spans="1:6">
      <c r="A106" s="21">
        <v>0</v>
      </c>
      <c r="B106" s="1">
        <v>-0.57399999999999995</v>
      </c>
      <c r="C106" s="1">
        <v>-0.10050000000000001</v>
      </c>
      <c r="D106" s="2">
        <v>-4.3099999999999999E-2</v>
      </c>
      <c r="E106" s="2">
        <v>3.11</v>
      </c>
      <c r="F106" s="41"/>
    </row>
    <row r="107" spans="1:6">
      <c r="A107" s="22">
        <v>5.6599999999999998E-2</v>
      </c>
      <c r="B107" s="3">
        <v>0</v>
      </c>
      <c r="C107" s="3">
        <v>-7.0800000000000002E-2</v>
      </c>
      <c r="D107" s="4">
        <v>-0.1179</v>
      </c>
      <c r="E107" s="4">
        <v>3.3420000000000001</v>
      </c>
      <c r="F107" s="41"/>
    </row>
    <row r="108" spans="1:6">
      <c r="A108" s="22">
        <v>-0.1061</v>
      </c>
      <c r="B108" s="3">
        <v>-7.5800000000000006E-2</v>
      </c>
      <c r="C108" s="3">
        <v>0</v>
      </c>
      <c r="D108" s="4">
        <v>-6.5699999999999995E-2</v>
      </c>
      <c r="E108" s="4">
        <v>4.1237000000000004</v>
      </c>
      <c r="F108" s="41"/>
    </row>
    <row r="109" spans="1:6" ht="15" thickBot="1">
      <c r="A109" s="23">
        <v>-6.8699999999999997E-2</v>
      </c>
      <c r="B109" s="5">
        <v>-0.1908</v>
      </c>
      <c r="C109" s="5">
        <v>-9.9199999999999997E-2</v>
      </c>
      <c r="D109" s="6">
        <v>0</v>
      </c>
      <c r="E109" s="6">
        <v>3.0916000000000001</v>
      </c>
      <c r="F109" s="41"/>
    </row>
    <row r="110" spans="1:6">
      <c r="F110" s="41"/>
    </row>
    <row r="111" spans="1:6">
      <c r="A111" t="s">
        <v>69</v>
      </c>
      <c r="F111" s="41"/>
    </row>
    <row r="112" spans="1:6" ht="16.2">
      <c r="A112" t="s">
        <v>70</v>
      </c>
      <c r="F112" s="41"/>
    </row>
    <row r="113" spans="1:6">
      <c r="F113" s="41"/>
    </row>
    <row r="114" spans="1:6">
      <c r="A114" t="s">
        <v>71</v>
      </c>
      <c r="F114" s="41"/>
    </row>
    <row r="115" spans="1:6" ht="16.2">
      <c r="A115" t="s">
        <v>72</v>
      </c>
      <c r="F115" s="41"/>
    </row>
    <row r="116" spans="1:6">
      <c r="F116" s="41"/>
    </row>
    <row r="117" spans="1:6">
      <c r="A117" t="s">
        <v>73</v>
      </c>
      <c r="F117" s="41"/>
    </row>
    <row r="118" spans="1:6">
      <c r="A118" t="s">
        <v>74</v>
      </c>
      <c r="F118" s="41"/>
    </row>
    <row r="119" spans="1:6">
      <c r="A119" t="s">
        <v>75</v>
      </c>
      <c r="F119" s="41"/>
    </row>
    <row r="120" spans="1:6">
      <c r="A120" t="s">
        <v>76</v>
      </c>
      <c r="F120" s="41"/>
    </row>
    <row r="121" spans="1:6">
      <c r="A121" t="s">
        <v>77</v>
      </c>
      <c r="F121" s="41"/>
    </row>
    <row r="122" spans="1:6">
      <c r="A122" t="s">
        <v>78</v>
      </c>
      <c r="F122" s="41"/>
    </row>
    <row r="123" spans="1:6">
      <c r="F123" s="41"/>
    </row>
    <row r="124" spans="1:6" ht="16.2">
      <c r="A124" t="s">
        <v>79</v>
      </c>
      <c r="F124" s="41"/>
    </row>
    <row r="125" spans="1:6">
      <c r="A125">
        <v>4.1237000000000004</v>
      </c>
      <c r="F125" s="41"/>
    </row>
    <row r="126" spans="1:6">
      <c r="F126" s="41"/>
    </row>
    <row r="127" spans="1:6" ht="16.2">
      <c r="A127" t="s">
        <v>80</v>
      </c>
      <c r="F127" s="41"/>
    </row>
    <row r="128" spans="1:6">
      <c r="A128" t="s">
        <v>81</v>
      </c>
      <c r="F128" s="41"/>
    </row>
    <row r="129" spans="1:6">
      <c r="F129" s="41"/>
    </row>
    <row r="130" spans="1:6">
      <c r="A130" t="s">
        <v>82</v>
      </c>
      <c r="F130" s="41"/>
    </row>
    <row r="131" spans="1:6">
      <c r="F131" s="41"/>
    </row>
    <row r="132" spans="1:6">
      <c r="A132" s="41" t="s">
        <v>84</v>
      </c>
      <c r="B132" s="41"/>
      <c r="C132" s="41"/>
      <c r="D132" s="41"/>
      <c r="E132" s="41"/>
      <c r="F132" s="41"/>
    </row>
    <row r="133" spans="1:6">
      <c r="A133" t="s">
        <v>85</v>
      </c>
      <c r="F133" s="41"/>
    </row>
    <row r="134" spans="1:6">
      <c r="A134" t="s">
        <v>86</v>
      </c>
      <c r="F134" s="41"/>
    </row>
    <row r="135" spans="1:6">
      <c r="F135" s="41"/>
    </row>
    <row r="136" spans="1:6">
      <c r="A136" t="s">
        <v>87</v>
      </c>
      <c r="F136" s="41"/>
    </row>
    <row r="137" spans="1:6">
      <c r="A137" t="s">
        <v>88</v>
      </c>
      <c r="F137" s="41"/>
    </row>
    <row r="138" spans="1:6">
      <c r="A138" t="s">
        <v>89</v>
      </c>
      <c r="F138" s="41"/>
    </row>
    <row r="139" spans="1:6">
      <c r="A139" t="s">
        <v>94</v>
      </c>
      <c r="F139" s="41"/>
    </row>
    <row r="140" spans="1:6">
      <c r="A140" s="41" t="s">
        <v>83</v>
      </c>
      <c r="B140" s="41"/>
      <c r="C140" s="41"/>
      <c r="D140" s="41"/>
      <c r="E140" s="41"/>
      <c r="F140" s="41"/>
    </row>
    <row r="141" spans="1:6">
      <c r="A141" t="s">
        <v>90</v>
      </c>
      <c r="F141" s="41"/>
    </row>
    <row r="142" spans="1:6">
      <c r="A142" t="s">
        <v>91</v>
      </c>
      <c r="F142" s="41"/>
    </row>
    <row r="143" spans="1:6">
      <c r="A143" t="s">
        <v>92</v>
      </c>
      <c r="F143" s="41"/>
    </row>
    <row r="144" spans="1:6">
      <c r="A144" t="s">
        <v>93</v>
      </c>
      <c r="F144" s="41"/>
    </row>
    <row r="145" spans="1:13">
      <c r="A145" t="s">
        <v>95</v>
      </c>
      <c r="F145" s="41"/>
    </row>
    <row r="146" spans="1:13">
      <c r="A146" s="41"/>
      <c r="B146" s="41"/>
      <c r="C146" s="41"/>
      <c r="D146" s="41"/>
      <c r="E146" s="41"/>
      <c r="F146" s="41"/>
    </row>
    <row r="147" spans="1:13">
      <c r="A147" t="s">
        <v>133</v>
      </c>
      <c r="F147" s="41"/>
    </row>
    <row r="148" spans="1:13">
      <c r="A148" t="s">
        <v>96</v>
      </c>
      <c r="F148" s="41"/>
    </row>
    <row r="149" spans="1:13">
      <c r="A149" t="s">
        <v>97</v>
      </c>
      <c r="F149" s="41"/>
    </row>
    <row r="150" spans="1:13">
      <c r="A150" t="s">
        <v>98</v>
      </c>
      <c r="F150" s="41"/>
    </row>
    <row r="151" spans="1:13" ht="15" thickBot="1">
      <c r="F151" s="41"/>
    </row>
    <row r="152" spans="1:13" ht="16.8">
      <c r="A152" s="21">
        <v>0</v>
      </c>
      <c r="B152" s="1">
        <v>-0.57399999999999995</v>
      </c>
      <c r="C152" s="1">
        <v>-0.10050000000000001</v>
      </c>
      <c r="D152" s="2">
        <v>-4.3099999999999999E-2</v>
      </c>
      <c r="E152" s="26" t="s">
        <v>17</v>
      </c>
      <c r="F152" s="84" t="s">
        <v>61</v>
      </c>
      <c r="G152" s="2">
        <v>3.11</v>
      </c>
      <c r="I152" s="80" t="s">
        <v>51</v>
      </c>
    </row>
    <row r="153" spans="1:13" ht="16.8">
      <c r="A153" s="22">
        <v>5.6599999999999998E-2</v>
      </c>
      <c r="B153" s="3">
        <v>0</v>
      </c>
      <c r="C153" s="3">
        <v>-7.0800000000000002E-2</v>
      </c>
      <c r="D153" s="4">
        <v>-0.1179</v>
      </c>
      <c r="E153" s="27" t="s">
        <v>16</v>
      </c>
      <c r="F153" s="85"/>
      <c r="G153" s="4">
        <v>3.3420000000000001</v>
      </c>
      <c r="I153" s="80" t="s">
        <v>52</v>
      </c>
    </row>
    <row r="154" spans="1:13" ht="16.8">
      <c r="A154" s="22">
        <v>-0.1061</v>
      </c>
      <c r="B154" s="3">
        <v>-7.5800000000000006E-2</v>
      </c>
      <c r="C154" s="3">
        <v>0</v>
      </c>
      <c r="D154" s="4">
        <v>-6.5699999999999995E-2</v>
      </c>
      <c r="E154" s="27" t="s">
        <v>18</v>
      </c>
      <c r="F154" s="85"/>
      <c r="G154" s="4">
        <v>4.1237000000000004</v>
      </c>
      <c r="I154" s="80" t="s">
        <v>53</v>
      </c>
    </row>
    <row r="155" spans="1:13" ht="17.399999999999999" thickBot="1">
      <c r="A155" s="23">
        <v>-6.8699999999999997E-2</v>
      </c>
      <c r="B155" s="5">
        <v>-0.1908</v>
      </c>
      <c r="C155" s="5">
        <v>-9.9199999999999997E-2</v>
      </c>
      <c r="D155" s="6">
        <v>0</v>
      </c>
      <c r="E155" s="37" t="s">
        <v>19</v>
      </c>
      <c r="F155" s="86"/>
      <c r="G155" s="6">
        <v>3.0916000000000001</v>
      </c>
      <c r="I155" s="80" t="s">
        <v>54</v>
      </c>
    </row>
    <row r="156" spans="1:13" ht="16.8" thickBot="1">
      <c r="A156" t="s">
        <v>99</v>
      </c>
      <c r="F156" s="41"/>
    </row>
    <row r="157" spans="1:13" ht="16.2">
      <c r="A157" t="s">
        <v>100</v>
      </c>
      <c r="F157" s="41"/>
      <c r="I157" s="16">
        <v>20.9</v>
      </c>
      <c r="J157" s="17">
        <v>1.2</v>
      </c>
      <c r="K157" s="17">
        <v>2.1</v>
      </c>
      <c r="L157" s="17">
        <v>0.9</v>
      </c>
      <c r="M157" s="13">
        <v>65</v>
      </c>
    </row>
    <row r="158" spans="1:13" ht="16.2">
      <c r="A158" t="s">
        <v>101</v>
      </c>
      <c r="F158" s="41"/>
      <c r="I158" s="7">
        <v>2.1</v>
      </c>
      <c r="J158" s="18">
        <v>1.5</v>
      </c>
      <c r="K158" s="18">
        <v>19.8</v>
      </c>
      <c r="L158" s="18">
        <v>1.3</v>
      </c>
      <c r="M158" s="14">
        <v>81.650000000000006</v>
      </c>
    </row>
    <row r="159" spans="1:13" ht="16.2">
      <c r="A159" t="s">
        <v>102</v>
      </c>
      <c r="F159" s="41"/>
      <c r="I159" s="7">
        <v>0.9</v>
      </c>
      <c r="J159" s="18">
        <v>2.5</v>
      </c>
      <c r="K159" s="18">
        <v>1.3</v>
      </c>
      <c r="L159" s="18">
        <v>13.1</v>
      </c>
      <c r="M159" s="14">
        <v>40.5</v>
      </c>
    </row>
    <row r="160" spans="1:13" ht="15" thickBot="1">
      <c r="F160" s="41"/>
      <c r="I160" s="19">
        <v>-1.2</v>
      </c>
      <c r="J160" s="20">
        <v>21.2</v>
      </c>
      <c r="K160" s="20">
        <v>1.5</v>
      </c>
      <c r="L160" s="20">
        <v>2.5</v>
      </c>
      <c r="M160" s="15">
        <v>70.849999999999994</v>
      </c>
    </row>
    <row r="161" spans="1:7">
      <c r="A161" t="s">
        <v>103</v>
      </c>
      <c r="B161">
        <v>0</v>
      </c>
      <c r="C161">
        <v>0</v>
      </c>
      <c r="D161">
        <v>0</v>
      </c>
      <c r="E161">
        <v>0</v>
      </c>
      <c r="F161" s="41"/>
    </row>
    <row r="162" spans="1:7">
      <c r="A162" t="s">
        <v>104</v>
      </c>
      <c r="B162">
        <f>(65 - 1.2*C161 - 2.1*D161 -0.9*E161) / 20.9</f>
        <v>3.1100478468899522</v>
      </c>
      <c r="C162">
        <f>(70.85 +1.2*B162-1.5*D161 -2.5*E161) / 21.2</f>
        <v>3.5180215762390539</v>
      </c>
      <c r="D162">
        <f>(81.65 - 2.1*B162 -1.5*C162 - 1.3*E161)/19.8</f>
        <v>3.5273670281400267</v>
      </c>
      <c r="E162">
        <f>(40.5 - 0.9*B162 -2.5*C162 - 1.3*D162)/13.1</f>
        <v>1.8565134244747614</v>
      </c>
      <c r="F162" s="41"/>
      <c r="G162">
        <f>MAX(ABS(B162-B161), ABS(C162-C161), ABS(D162-D161), ABS(E162-E161))</f>
        <v>3.5273670281400267</v>
      </c>
    </row>
    <row r="163" spans="1:7">
      <c r="A163" t="s">
        <v>105</v>
      </c>
      <c r="B163">
        <f>(65 - 1.2*C162 - 2.1*D162 -0.9*E162) / 20.9</f>
        <v>2.4736861850426699</v>
      </c>
      <c r="C163">
        <f t="shared" ref="C163:C166" si="9">(70.85 +1.2*B163-1.5*D162 -2.5*E162) / 21.2</f>
        <v>3.0134947791818045</v>
      </c>
      <c r="D163">
        <f t="shared" ref="D163:D166" si="10">(81.65 - 2.1*B163 -1.5*C163 - 1.3*E162)/19.8</f>
        <v>3.5111893631727531</v>
      </c>
      <c r="E163">
        <f t="shared" ref="E163:E166" si="11">(40.5 - 0.9*B163 -2.5*C163 - 1.3*D163)/13.1</f>
        <v>1.9981220849910308</v>
      </c>
      <c r="F163" s="41"/>
      <c r="G163">
        <f t="shared" ref="G163:G164" si="12">MAX(ABS(B163-B162), ABS(C163-C162), ABS(D163-D162), ABS(E163-E162))</f>
        <v>0.63636166184728227</v>
      </c>
    </row>
    <row r="164" spans="1:7">
      <c r="A164" t="s">
        <v>106</v>
      </c>
      <c r="B164">
        <f t="shared" ref="B164:B166" si="13">(65 - 1.2*C163 - 2.1*D163 -0.9*E163) / 20.9</f>
        <v>2.4981817572166092</v>
      </c>
      <c r="C164">
        <f t="shared" si="9"/>
        <v>2.9993268326143028</v>
      </c>
      <c r="D164">
        <f t="shared" si="10"/>
        <v>3.5003671389108746</v>
      </c>
      <c r="E164">
        <f t="shared" si="11"/>
        <v>2.0002169508690959</v>
      </c>
      <c r="F164" s="41"/>
      <c r="G164">
        <f t="shared" si="12"/>
        <v>2.4495572173939273E-2</v>
      </c>
    </row>
    <row r="165" spans="1:7">
      <c r="A165" t="s">
        <v>107</v>
      </c>
      <c r="B165">
        <f t="shared" si="13"/>
        <v>2.4999924188214266</v>
      </c>
      <c r="C165">
        <f t="shared" si="9"/>
        <v>2.9999480102380498</v>
      </c>
      <c r="D165">
        <f t="shared" si="10"/>
        <v>3.4999904984337431</v>
      </c>
      <c r="E165">
        <f t="shared" si="11"/>
        <v>2.0000113854581469</v>
      </c>
      <c r="F165" s="41"/>
      <c r="G165">
        <f>MAX(ABS(B165-B164), ABS(C165-C164), ABS(D165-D164), ABS(E165-E164))</f>
        <v>1.8106616048174651E-3</v>
      </c>
    </row>
    <row r="166" spans="1:7">
      <c r="A166" t="s">
        <v>108</v>
      </c>
      <c r="B166">
        <f t="shared" si="13"/>
        <v>2.5000034494780459</v>
      </c>
      <c r="C166">
        <f t="shared" si="9"/>
        <v>2.9999995249093243</v>
      </c>
      <c r="D166">
        <f t="shared" si="10"/>
        <v>3.4999989226079049</v>
      </c>
      <c r="E166">
        <f t="shared" si="11"/>
        <v>1.9999999605958907</v>
      </c>
      <c r="F166" s="41"/>
      <c r="G166">
        <f>MAX(ABS(B166-B165), ABS(C166-C165), ABS(D166-D165), ABS(E166-E165))</f>
        <v>5.1514671274510704E-5</v>
      </c>
    </row>
    <row r="167" spans="1:7">
      <c r="F167" s="41"/>
    </row>
    <row r="168" spans="1:7">
      <c r="A168" t="s">
        <v>109</v>
      </c>
      <c r="F168" s="41"/>
    </row>
    <row r="169" spans="1:7">
      <c r="A169" t="s">
        <v>110</v>
      </c>
      <c r="F169" s="41"/>
    </row>
    <row r="170" spans="1:7">
      <c r="A170" t="s">
        <v>111</v>
      </c>
      <c r="F170" s="41"/>
    </row>
    <row r="171" spans="1:7">
      <c r="A171" t="s">
        <v>112</v>
      </c>
      <c r="F171" s="41"/>
    </row>
    <row r="172" spans="1:7">
      <c r="A172" t="s">
        <v>113</v>
      </c>
      <c r="F172" s="41"/>
    </row>
    <row r="173" spans="1:7">
      <c r="A173" s="41"/>
      <c r="B173" s="41"/>
      <c r="C173" s="41"/>
      <c r="D173" s="41"/>
      <c r="E173" s="41"/>
      <c r="F173" s="41"/>
    </row>
    <row r="174" spans="1:7">
      <c r="A174" t="s">
        <v>114</v>
      </c>
      <c r="F174" s="41"/>
    </row>
    <row r="175" spans="1:7">
      <c r="A175" t="s">
        <v>115</v>
      </c>
      <c r="F175" s="41"/>
    </row>
    <row r="176" spans="1:7">
      <c r="A176" t="s">
        <v>116</v>
      </c>
      <c r="F176" s="41"/>
    </row>
    <row r="177" spans="1:6">
      <c r="A177" t="s">
        <v>117</v>
      </c>
      <c r="F177" s="41"/>
    </row>
    <row r="178" spans="1:6">
      <c r="F178" s="41"/>
    </row>
    <row r="179" spans="1:6">
      <c r="F179" s="41"/>
    </row>
    <row r="180" spans="1:6">
      <c r="F180" s="41"/>
    </row>
    <row r="181" spans="1:6">
      <c r="F181" s="41"/>
    </row>
    <row r="182" spans="1:6">
      <c r="F182" s="41"/>
    </row>
    <row r="183" spans="1:6">
      <c r="A183" t="s">
        <v>118</v>
      </c>
      <c r="F183" s="41"/>
    </row>
    <row r="184" spans="1:6">
      <c r="B184">
        <f>ABS(B166-B165)</f>
        <v>1.103065661922642E-5</v>
      </c>
      <c r="C184">
        <f>ABS(C166-C165)</f>
        <v>5.1514671274510704E-5</v>
      </c>
      <c r="D184">
        <f>ABS(D166-D165)</f>
        <v>8.4241741618029664E-6</v>
      </c>
      <c r="E184">
        <f>ABS(E166-E165)</f>
        <v>1.1424862256248502E-5</v>
      </c>
      <c r="F184" s="41"/>
    </row>
    <row r="185" spans="1:6">
      <c r="A185" t="s">
        <v>119</v>
      </c>
      <c r="C185">
        <f>ABS(C166-C165)</f>
        <v>5.1514671274510704E-5</v>
      </c>
      <c r="F185" s="41"/>
    </row>
    <row r="186" spans="1:6">
      <c r="F186" s="41"/>
    </row>
    <row r="187" spans="1:6">
      <c r="A187" s="67" t="s">
        <v>120</v>
      </c>
      <c r="F187" s="41"/>
    </row>
    <row r="188" spans="1:6">
      <c r="A188" t="s">
        <v>121</v>
      </c>
      <c r="B188">
        <f>(0.3587 / (1 - 0.3587)) * 0.000758</f>
        <v>4.2397411507874631E-4</v>
      </c>
      <c r="F188" s="41"/>
    </row>
    <row r="189" spans="1:6">
      <c r="F189" s="41"/>
    </row>
    <row r="190" spans="1:6">
      <c r="A190" t="s">
        <v>122</v>
      </c>
      <c r="F190" s="41"/>
    </row>
    <row r="191" spans="1:6">
      <c r="A191" t="s">
        <v>123</v>
      </c>
      <c r="F191" s="41"/>
    </row>
    <row r="192" spans="1:6">
      <c r="A192" t="s">
        <v>124</v>
      </c>
      <c r="F192" s="41"/>
    </row>
    <row r="193" spans="1:6">
      <c r="A193" s="41"/>
      <c r="B193" s="41"/>
      <c r="C193" s="41"/>
      <c r="D193" s="41"/>
      <c r="E193" s="41"/>
      <c r="F193" s="41"/>
    </row>
    <row r="194" spans="1:6">
      <c r="A194" t="s">
        <v>125</v>
      </c>
      <c r="F194" s="41"/>
    </row>
    <row r="195" spans="1:6">
      <c r="F195" s="41"/>
    </row>
    <row r="196" spans="1:6">
      <c r="A196" t="s">
        <v>126</v>
      </c>
      <c r="D196" t="s">
        <v>127</v>
      </c>
      <c r="F196" s="41"/>
    </row>
    <row r="197" spans="1:6">
      <c r="A197" t="s">
        <v>17</v>
      </c>
      <c r="B197">
        <v>2.5</v>
      </c>
      <c r="D197" t="s">
        <v>17</v>
      </c>
      <c r="E197">
        <v>2.5000034489999998</v>
      </c>
      <c r="F197" s="41"/>
    </row>
    <row r="198" spans="1:6">
      <c r="A198" t="s">
        <v>16</v>
      </c>
      <c r="B198">
        <v>3</v>
      </c>
      <c r="D198" t="s">
        <v>16</v>
      </c>
      <c r="E198">
        <v>2.9999995249999998</v>
      </c>
      <c r="F198" s="41"/>
    </row>
    <row r="199" spans="1:6">
      <c r="A199" t="s">
        <v>18</v>
      </c>
      <c r="B199">
        <v>3.5</v>
      </c>
      <c r="D199" t="s">
        <v>18</v>
      </c>
      <c r="E199">
        <v>3.4999989230000002</v>
      </c>
      <c r="F199" s="41"/>
    </row>
    <row r="200" spans="1:6">
      <c r="A200" t="s">
        <v>19</v>
      </c>
      <c r="B200">
        <v>2</v>
      </c>
      <c r="D200" t="s">
        <v>19</v>
      </c>
      <c r="E200">
        <v>2</v>
      </c>
      <c r="F200" s="41"/>
    </row>
    <row r="201" spans="1:6">
      <c r="F201" s="41"/>
    </row>
    <row r="202" spans="1:6">
      <c r="A202" t="s">
        <v>128</v>
      </c>
      <c r="F202" s="41"/>
    </row>
    <row r="203" spans="1:6">
      <c r="A203">
        <v>1</v>
      </c>
      <c r="B203">
        <f>ABS(B197-E197)</f>
        <v>3.4489999998221776E-6</v>
      </c>
      <c r="F203" s="41"/>
    </row>
    <row r="204" spans="1:6">
      <c r="A204">
        <v>2</v>
      </c>
      <c r="B204">
        <f t="shared" ref="B204:B206" si="14">ABS(B198-E198)</f>
        <v>4.7500000022182576E-7</v>
      </c>
      <c r="F204" s="41"/>
    </row>
    <row r="205" spans="1:6">
      <c r="A205">
        <v>3</v>
      </c>
      <c r="B205">
        <f t="shared" si="14"/>
        <v>1.0769999998494484E-6</v>
      </c>
      <c r="F205" s="41"/>
    </row>
    <row r="206" spans="1:6">
      <c r="A206">
        <v>4</v>
      </c>
      <c r="B206">
        <f t="shared" si="14"/>
        <v>0</v>
      </c>
      <c r="F206" s="41"/>
    </row>
    <row r="207" spans="1:6">
      <c r="F207" s="41"/>
    </row>
    <row r="208" spans="1:6">
      <c r="A208" t="s">
        <v>129</v>
      </c>
      <c r="C208">
        <f>MAX(B203:B206)</f>
        <v>3.4489999998221776E-6</v>
      </c>
      <c r="F208" s="41"/>
    </row>
    <row r="209" spans="1:6">
      <c r="A209" s="41"/>
      <c r="B209" s="41"/>
      <c r="C209" s="41"/>
      <c r="D209" s="41"/>
      <c r="E209" s="41"/>
      <c r="F209" s="41"/>
    </row>
    <row r="210" spans="1:6">
      <c r="A210" t="s">
        <v>130</v>
      </c>
      <c r="F210" s="41"/>
    </row>
    <row r="211" spans="1:6">
      <c r="A211" t="s">
        <v>131</v>
      </c>
      <c r="F211" s="41"/>
    </row>
    <row r="212" spans="1:6">
      <c r="A212" t="s">
        <v>132</v>
      </c>
      <c r="F212" s="41"/>
    </row>
    <row r="213" spans="1:6">
      <c r="A213" s="41"/>
      <c r="B213" s="41"/>
      <c r="C213" s="41"/>
      <c r="D213" s="41"/>
      <c r="E213" s="41"/>
      <c r="F213" s="41"/>
    </row>
  </sheetData>
  <mergeCells count="3">
    <mergeCell ref="E93:E96"/>
    <mergeCell ref="L93:L96"/>
    <mergeCell ref="F152:F155"/>
  </mergeCells>
  <phoneticPr fontId="1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Сикорский</dc:creator>
  <cp:lastModifiedBy>Артём Сикорский</cp:lastModifiedBy>
  <dcterms:created xsi:type="dcterms:W3CDTF">2026-05-08T08:39:53Z</dcterms:created>
  <dcterms:modified xsi:type="dcterms:W3CDTF">2026-05-15T10:27:15Z</dcterms:modified>
</cp:coreProperties>
</file>